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Vineet\CV\Portfolio\"/>
    </mc:Choice>
  </mc:AlternateContent>
  <xr:revisionPtr revIDLastSave="0" documentId="13_ncr:1_{369D7657-CDEE-494D-92CE-F5BFF0FB84F9}" xr6:coauthVersionLast="47" xr6:coauthVersionMax="47" xr10:uidLastSave="{00000000-0000-0000-0000-000000000000}"/>
  <bookViews>
    <workbookView xWindow="-108" yWindow="-108" windowWidth="23256" windowHeight="13896" firstSheet="1" activeTab="1" xr2:uid="{BD7C2ABA-9C2A-425E-BE99-F03417DA5BCA}"/>
  </bookViews>
  <sheets>
    <sheet name="Dashboard 2" sheetId="4" state="hidden" r:id="rId1"/>
    <sheet name="Dashboard" sheetId="3" r:id="rId2"/>
    <sheet name="Pivot (2)" sheetId="6" state="hidden" r:id="rId3"/>
    <sheet name="Pivot" sheetId="2" r:id="rId4"/>
    <sheet name="Master Data" sheetId="1" r:id="rId5"/>
    <sheet name="Sheet4" sheetId="5" r:id="rId6"/>
  </sheets>
  <definedNames>
    <definedName name="_xlnm._FilterDatabase" localSheetId="4" hidden="1">'Master Data'!$A$1:$Q$334</definedName>
    <definedName name="_xlnm._FilterDatabase" localSheetId="5" hidden="1">Sheet4!$B$1:$H$334</definedName>
    <definedName name="Slicer_Country">#N/A</definedName>
    <definedName name="Slicer_Month">#N/A</definedName>
    <definedName name="Slicer_Product">#N/A</definedName>
    <definedName name="Slicer_Sales_Pers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2" i="1"/>
  <c r="H334" i="5"/>
  <c r="H333" i="5"/>
  <c r="H332" i="5"/>
  <c r="H331" i="5"/>
  <c r="H330" i="5"/>
  <c r="H329" i="5"/>
  <c r="H328" i="5"/>
  <c r="H327" i="5"/>
  <c r="H326" i="5"/>
  <c r="H325" i="5"/>
  <c r="H324" i="5"/>
  <c r="H323" i="5"/>
  <c r="H322" i="5"/>
  <c r="H321" i="5"/>
  <c r="H320" i="5"/>
  <c r="H319" i="5"/>
  <c r="H318" i="5"/>
  <c r="H317" i="5"/>
  <c r="H316" i="5"/>
  <c r="H315" i="5"/>
  <c r="H314" i="5"/>
  <c r="H313" i="5"/>
  <c r="H312" i="5"/>
  <c r="H311" i="5"/>
  <c r="H310" i="5"/>
  <c r="H309" i="5"/>
  <c r="H308" i="5"/>
  <c r="H307" i="5"/>
  <c r="H306" i="5"/>
  <c r="H305" i="5"/>
  <c r="H304" i="5"/>
  <c r="H303" i="5"/>
  <c r="H302" i="5"/>
  <c r="H301" i="5"/>
  <c r="H300" i="5"/>
  <c r="H299" i="5"/>
  <c r="H298" i="5"/>
  <c r="H297" i="5"/>
  <c r="H296" i="5"/>
  <c r="H295" i="5"/>
  <c r="H294" i="5"/>
  <c r="H293" i="5"/>
  <c r="H292" i="5"/>
  <c r="H291" i="5"/>
  <c r="H290" i="5"/>
  <c r="H289" i="5"/>
  <c r="H288" i="5"/>
  <c r="H287" i="5"/>
  <c r="H286" i="5"/>
  <c r="H285" i="5"/>
  <c r="H284" i="5"/>
  <c r="H283" i="5"/>
  <c r="H282" i="5"/>
  <c r="H281" i="5"/>
  <c r="H280" i="5"/>
  <c r="H279" i="5"/>
  <c r="H278" i="5"/>
  <c r="H277" i="5"/>
  <c r="H276" i="5"/>
  <c r="H275" i="5"/>
  <c r="H274" i="5"/>
  <c r="H273" i="5"/>
  <c r="H272" i="5"/>
  <c r="H271" i="5"/>
  <c r="H270" i="5"/>
  <c r="H269" i="5"/>
  <c r="H268" i="5"/>
  <c r="H267" i="5"/>
  <c r="H266" i="5"/>
  <c r="H265" i="5"/>
  <c r="H264" i="5"/>
  <c r="H263" i="5"/>
  <c r="H262" i="5"/>
  <c r="H261" i="5"/>
  <c r="H260" i="5"/>
  <c r="H259" i="5"/>
  <c r="H258" i="5"/>
  <c r="H257" i="5"/>
  <c r="H256" i="5"/>
  <c r="H255" i="5"/>
  <c r="H254" i="5"/>
  <c r="H253" i="5"/>
  <c r="H252" i="5"/>
  <c r="H251" i="5"/>
  <c r="H250" i="5"/>
  <c r="H249" i="5"/>
  <c r="H248" i="5"/>
  <c r="H247" i="5"/>
  <c r="H246" i="5"/>
  <c r="H245" i="5"/>
  <c r="H244" i="5"/>
  <c r="H243" i="5"/>
  <c r="H242" i="5"/>
  <c r="H241" i="5"/>
  <c r="H240" i="5"/>
  <c r="H239" i="5"/>
  <c r="H238" i="5"/>
  <c r="H237" i="5"/>
  <c r="H236" i="5"/>
  <c r="H235" i="5"/>
  <c r="H234" i="5"/>
  <c r="H233" i="5"/>
  <c r="H232" i="5"/>
  <c r="H231" i="5"/>
  <c r="H230" i="5"/>
  <c r="H229" i="5"/>
  <c r="H228" i="5"/>
  <c r="H227" i="5"/>
  <c r="H226" i="5"/>
  <c r="H225" i="5"/>
  <c r="H224" i="5"/>
  <c r="H223" i="5"/>
  <c r="H222" i="5"/>
  <c r="H221" i="5"/>
  <c r="H220" i="5"/>
  <c r="H219" i="5"/>
  <c r="H218" i="5"/>
  <c r="H217" i="5"/>
  <c r="H216" i="5"/>
  <c r="H215" i="5"/>
  <c r="H214" i="5"/>
  <c r="H213" i="5"/>
  <c r="H212" i="5"/>
  <c r="H211" i="5"/>
  <c r="H210" i="5"/>
  <c r="H209" i="5"/>
  <c r="H208" i="5"/>
  <c r="H207" i="5"/>
  <c r="H206" i="5"/>
  <c r="H205" i="5"/>
  <c r="H204" i="5"/>
  <c r="H203" i="5"/>
  <c r="H202" i="5"/>
  <c r="H201"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 i="5"/>
  <c r="H2" i="5"/>
  <c r="J334" i="1"/>
  <c r="I334" i="1"/>
  <c r="H334" i="1"/>
  <c r="G334" i="1"/>
  <c r="J333" i="1"/>
  <c r="K333" i="1" s="1"/>
  <c r="I333" i="1"/>
  <c r="H333" i="1"/>
  <c r="G333" i="1"/>
  <c r="J332" i="1"/>
  <c r="I332" i="1"/>
  <c r="H332" i="1"/>
  <c r="G332" i="1"/>
  <c r="J331" i="1"/>
  <c r="K331" i="1" s="1"/>
  <c r="I331" i="1"/>
  <c r="H331" i="1"/>
  <c r="G331" i="1"/>
  <c r="J330" i="1"/>
  <c r="I330" i="1"/>
  <c r="H330" i="1"/>
  <c r="G330" i="1"/>
  <c r="J329" i="1"/>
  <c r="I329" i="1"/>
  <c r="H329" i="1"/>
  <c r="G329" i="1"/>
  <c r="J328" i="1"/>
  <c r="K328" i="1" s="1"/>
  <c r="I328" i="1"/>
  <c r="H328" i="1"/>
  <c r="G328" i="1"/>
  <c r="J327" i="1"/>
  <c r="K327" i="1" s="1"/>
  <c r="I327" i="1"/>
  <c r="H327" i="1"/>
  <c r="G327" i="1"/>
  <c r="J326" i="1"/>
  <c r="K326" i="1" s="1"/>
  <c r="I326" i="1"/>
  <c r="H326" i="1"/>
  <c r="G326" i="1"/>
  <c r="J325" i="1"/>
  <c r="I325" i="1"/>
  <c r="H325" i="1"/>
  <c r="G325" i="1"/>
  <c r="J324" i="1"/>
  <c r="K324" i="1" s="1"/>
  <c r="I324" i="1"/>
  <c r="H324" i="1"/>
  <c r="G324" i="1"/>
  <c r="J323" i="1"/>
  <c r="K323" i="1" s="1"/>
  <c r="I323" i="1"/>
  <c r="H323" i="1"/>
  <c r="G323" i="1"/>
  <c r="J322" i="1"/>
  <c r="I322" i="1"/>
  <c r="H322" i="1"/>
  <c r="G322" i="1"/>
  <c r="J321" i="1"/>
  <c r="K321" i="1" s="1"/>
  <c r="I321" i="1"/>
  <c r="H321" i="1"/>
  <c r="G321" i="1"/>
  <c r="J320" i="1"/>
  <c r="K320" i="1" s="1"/>
  <c r="I320" i="1"/>
  <c r="H320" i="1"/>
  <c r="G320" i="1"/>
  <c r="J319" i="1"/>
  <c r="I319" i="1"/>
  <c r="H319" i="1"/>
  <c r="G319" i="1"/>
  <c r="J318" i="1"/>
  <c r="I318" i="1"/>
  <c r="H318" i="1"/>
  <c r="G318" i="1"/>
  <c r="J317" i="1"/>
  <c r="K317" i="1" s="1"/>
  <c r="I317" i="1"/>
  <c r="H317" i="1"/>
  <c r="G317" i="1"/>
  <c r="J316" i="1"/>
  <c r="K316" i="1" s="1"/>
  <c r="I316" i="1"/>
  <c r="H316" i="1"/>
  <c r="G316" i="1"/>
  <c r="J315" i="1"/>
  <c r="K315" i="1" s="1"/>
  <c r="I315" i="1"/>
  <c r="H315" i="1"/>
  <c r="G315" i="1"/>
  <c r="J314" i="1"/>
  <c r="K314" i="1" s="1"/>
  <c r="I314" i="1"/>
  <c r="H314" i="1"/>
  <c r="G314" i="1"/>
  <c r="J313" i="1"/>
  <c r="K313" i="1" s="1"/>
  <c r="I313" i="1"/>
  <c r="H313" i="1"/>
  <c r="G313" i="1"/>
  <c r="J312" i="1"/>
  <c r="I312" i="1"/>
  <c r="H312" i="1"/>
  <c r="G312" i="1"/>
  <c r="J311" i="1"/>
  <c r="K311" i="1" s="1"/>
  <c r="I311" i="1"/>
  <c r="H311" i="1"/>
  <c r="G311" i="1"/>
  <c r="J310" i="1"/>
  <c r="I310" i="1"/>
  <c r="H310" i="1"/>
  <c r="G310" i="1"/>
  <c r="J309" i="1"/>
  <c r="K309" i="1" s="1"/>
  <c r="I309" i="1"/>
  <c r="H309" i="1"/>
  <c r="G309" i="1"/>
  <c r="J308" i="1"/>
  <c r="K308" i="1" s="1"/>
  <c r="I308" i="1"/>
  <c r="H308" i="1"/>
  <c r="G308" i="1"/>
  <c r="J307" i="1"/>
  <c r="I307" i="1"/>
  <c r="H307" i="1"/>
  <c r="G307" i="1"/>
  <c r="J306" i="1"/>
  <c r="K306" i="1" s="1"/>
  <c r="I306" i="1"/>
  <c r="H306" i="1"/>
  <c r="G306" i="1"/>
  <c r="J305" i="1"/>
  <c r="K305" i="1" s="1"/>
  <c r="I305" i="1"/>
  <c r="H305" i="1"/>
  <c r="G305" i="1"/>
  <c r="J304" i="1"/>
  <c r="I304" i="1"/>
  <c r="H304" i="1"/>
  <c r="G304" i="1"/>
  <c r="J303" i="1"/>
  <c r="I303" i="1"/>
  <c r="H303" i="1"/>
  <c r="G303" i="1"/>
  <c r="J302" i="1"/>
  <c r="K302" i="1" s="1"/>
  <c r="I302" i="1"/>
  <c r="H302" i="1"/>
  <c r="G302" i="1"/>
  <c r="J301" i="1"/>
  <c r="I301" i="1"/>
  <c r="H301" i="1"/>
  <c r="G301" i="1"/>
  <c r="J300" i="1"/>
  <c r="K300" i="1" s="1"/>
  <c r="I300" i="1"/>
  <c r="H300" i="1"/>
  <c r="G300" i="1"/>
  <c r="J299" i="1"/>
  <c r="K299" i="1" s="1"/>
  <c r="I299" i="1"/>
  <c r="H299" i="1"/>
  <c r="G299" i="1"/>
  <c r="J298" i="1"/>
  <c r="K298" i="1" s="1"/>
  <c r="I298" i="1"/>
  <c r="H298" i="1"/>
  <c r="G298" i="1"/>
  <c r="J297" i="1"/>
  <c r="K297" i="1" s="1"/>
  <c r="I297" i="1"/>
  <c r="H297" i="1"/>
  <c r="G297" i="1"/>
  <c r="J296" i="1"/>
  <c r="K296" i="1" s="1"/>
  <c r="I296" i="1"/>
  <c r="H296" i="1"/>
  <c r="G296" i="1"/>
  <c r="J295" i="1"/>
  <c r="K295" i="1" s="1"/>
  <c r="I295" i="1"/>
  <c r="H295" i="1"/>
  <c r="G295" i="1"/>
  <c r="J294" i="1"/>
  <c r="K294" i="1" s="1"/>
  <c r="I294" i="1"/>
  <c r="H294" i="1"/>
  <c r="G294" i="1"/>
  <c r="J293" i="1"/>
  <c r="I293" i="1"/>
  <c r="H293" i="1"/>
  <c r="G293" i="1"/>
  <c r="J292" i="1"/>
  <c r="K292" i="1" s="1"/>
  <c r="I292" i="1"/>
  <c r="H292" i="1"/>
  <c r="G292" i="1"/>
  <c r="J291" i="1"/>
  <c r="K291" i="1" s="1"/>
  <c r="I291" i="1"/>
  <c r="H291" i="1"/>
  <c r="G291" i="1"/>
  <c r="J290" i="1"/>
  <c r="K290" i="1" s="1"/>
  <c r="I290" i="1"/>
  <c r="H290" i="1"/>
  <c r="G290" i="1"/>
  <c r="J289" i="1"/>
  <c r="K289" i="1" s="1"/>
  <c r="I289" i="1"/>
  <c r="H289" i="1"/>
  <c r="G289" i="1"/>
  <c r="J288" i="1"/>
  <c r="K288" i="1" s="1"/>
  <c r="I288" i="1"/>
  <c r="H288" i="1"/>
  <c r="G288" i="1"/>
  <c r="J287" i="1"/>
  <c r="I287" i="1"/>
  <c r="H287" i="1"/>
  <c r="G287" i="1"/>
  <c r="J286" i="1"/>
  <c r="K286" i="1" s="1"/>
  <c r="I286" i="1"/>
  <c r="H286" i="1"/>
  <c r="G286" i="1"/>
  <c r="J285" i="1"/>
  <c r="I285" i="1"/>
  <c r="H285" i="1"/>
  <c r="G285" i="1"/>
  <c r="J284" i="1"/>
  <c r="I284" i="1"/>
  <c r="H284" i="1"/>
  <c r="G284" i="1"/>
  <c r="J283" i="1"/>
  <c r="K283" i="1" s="1"/>
  <c r="I283" i="1"/>
  <c r="H283" i="1"/>
  <c r="G283" i="1"/>
  <c r="J282" i="1"/>
  <c r="I282" i="1"/>
  <c r="H282" i="1"/>
  <c r="G282" i="1"/>
  <c r="J281" i="1"/>
  <c r="K281" i="1" s="1"/>
  <c r="I281" i="1"/>
  <c r="H281" i="1"/>
  <c r="G281" i="1"/>
  <c r="J280" i="1"/>
  <c r="K280" i="1" s="1"/>
  <c r="I280" i="1"/>
  <c r="H280" i="1"/>
  <c r="G280" i="1"/>
  <c r="J279" i="1"/>
  <c r="I279" i="1"/>
  <c r="H279" i="1"/>
  <c r="G279" i="1"/>
  <c r="J278" i="1"/>
  <c r="K278" i="1" s="1"/>
  <c r="I278" i="1"/>
  <c r="H278" i="1"/>
  <c r="G278" i="1"/>
  <c r="J277" i="1"/>
  <c r="K277" i="1" s="1"/>
  <c r="I277" i="1"/>
  <c r="H277" i="1"/>
  <c r="G277" i="1"/>
  <c r="J276" i="1"/>
  <c r="K276" i="1" s="1"/>
  <c r="I276" i="1"/>
  <c r="H276" i="1"/>
  <c r="G276" i="1"/>
  <c r="J275" i="1"/>
  <c r="K275" i="1" s="1"/>
  <c r="I275" i="1"/>
  <c r="H275" i="1"/>
  <c r="G275" i="1"/>
  <c r="J274" i="1"/>
  <c r="K274" i="1" s="1"/>
  <c r="I274" i="1"/>
  <c r="H274" i="1"/>
  <c r="G274" i="1"/>
  <c r="J273" i="1"/>
  <c r="K273" i="1" s="1"/>
  <c r="I273" i="1"/>
  <c r="H273" i="1"/>
  <c r="G273" i="1"/>
  <c r="J272" i="1"/>
  <c r="K272" i="1" s="1"/>
  <c r="I272" i="1"/>
  <c r="H272" i="1"/>
  <c r="G272" i="1"/>
  <c r="J271" i="1"/>
  <c r="K271" i="1" s="1"/>
  <c r="I271" i="1"/>
  <c r="H271" i="1"/>
  <c r="G271" i="1"/>
  <c r="J270" i="1"/>
  <c r="K270" i="1" s="1"/>
  <c r="I270" i="1"/>
  <c r="H270" i="1"/>
  <c r="G270" i="1"/>
  <c r="J269" i="1"/>
  <c r="K269" i="1" s="1"/>
  <c r="I269" i="1"/>
  <c r="H269" i="1"/>
  <c r="G269" i="1"/>
  <c r="J268" i="1"/>
  <c r="K268" i="1" s="1"/>
  <c r="I268" i="1"/>
  <c r="H268" i="1"/>
  <c r="G268" i="1"/>
  <c r="J267" i="1"/>
  <c r="I267" i="1"/>
  <c r="H267" i="1"/>
  <c r="G267" i="1"/>
  <c r="J266" i="1"/>
  <c r="I266" i="1"/>
  <c r="H266" i="1"/>
  <c r="G266" i="1"/>
  <c r="J265" i="1"/>
  <c r="I265" i="1"/>
  <c r="H265" i="1"/>
  <c r="G265" i="1"/>
  <c r="J264" i="1"/>
  <c r="I264" i="1"/>
  <c r="H264" i="1"/>
  <c r="G264" i="1"/>
  <c r="J263" i="1"/>
  <c r="K263" i="1" s="1"/>
  <c r="I263" i="1"/>
  <c r="H263" i="1"/>
  <c r="G263" i="1"/>
  <c r="J262" i="1"/>
  <c r="I262" i="1"/>
  <c r="H262" i="1"/>
  <c r="G262" i="1"/>
  <c r="J261" i="1"/>
  <c r="I261" i="1"/>
  <c r="H261" i="1"/>
  <c r="G261" i="1"/>
  <c r="J260" i="1"/>
  <c r="I260" i="1"/>
  <c r="H260" i="1"/>
  <c r="G260" i="1"/>
  <c r="J259" i="1"/>
  <c r="K259" i="1" s="1"/>
  <c r="I259" i="1"/>
  <c r="H259" i="1"/>
  <c r="G259" i="1"/>
  <c r="J258" i="1"/>
  <c r="I258" i="1"/>
  <c r="H258" i="1"/>
  <c r="G258" i="1"/>
  <c r="J257" i="1"/>
  <c r="K257" i="1" s="1"/>
  <c r="I257" i="1"/>
  <c r="H257" i="1"/>
  <c r="G257" i="1"/>
  <c r="J256" i="1"/>
  <c r="K256" i="1" s="1"/>
  <c r="I256" i="1"/>
  <c r="H256" i="1"/>
  <c r="G256" i="1"/>
  <c r="J255" i="1"/>
  <c r="I255" i="1"/>
  <c r="H255" i="1"/>
  <c r="G255" i="1"/>
  <c r="J254" i="1"/>
  <c r="K254" i="1" s="1"/>
  <c r="I254" i="1"/>
  <c r="H254" i="1"/>
  <c r="G254" i="1"/>
  <c r="J253" i="1"/>
  <c r="I253" i="1"/>
  <c r="H253" i="1"/>
  <c r="G253" i="1"/>
  <c r="J252" i="1"/>
  <c r="I252" i="1"/>
  <c r="H252" i="1"/>
  <c r="G252" i="1"/>
  <c r="J251" i="1"/>
  <c r="K251" i="1" s="1"/>
  <c r="I251" i="1"/>
  <c r="H251" i="1"/>
  <c r="G251" i="1"/>
  <c r="J250" i="1"/>
  <c r="I250" i="1"/>
  <c r="H250" i="1"/>
  <c r="G250" i="1"/>
  <c r="J249" i="1"/>
  <c r="I249" i="1"/>
  <c r="H249" i="1"/>
  <c r="G249" i="1"/>
  <c r="J248" i="1"/>
  <c r="K248" i="1" s="1"/>
  <c r="I248" i="1"/>
  <c r="H248" i="1"/>
  <c r="G248" i="1"/>
  <c r="J247" i="1"/>
  <c r="K247" i="1" s="1"/>
  <c r="I247" i="1"/>
  <c r="H247" i="1"/>
  <c r="G247" i="1"/>
  <c r="J246" i="1"/>
  <c r="K246" i="1" s="1"/>
  <c r="I246" i="1"/>
  <c r="H246" i="1"/>
  <c r="G246" i="1"/>
  <c r="J245" i="1"/>
  <c r="I245" i="1"/>
  <c r="H245" i="1"/>
  <c r="G245" i="1"/>
  <c r="J244" i="1"/>
  <c r="K244" i="1" s="1"/>
  <c r="I244" i="1"/>
  <c r="H244" i="1"/>
  <c r="G244" i="1"/>
  <c r="J243" i="1"/>
  <c r="I243" i="1"/>
  <c r="H243" i="1"/>
  <c r="G243" i="1"/>
  <c r="J242" i="1"/>
  <c r="K242" i="1" s="1"/>
  <c r="I242" i="1"/>
  <c r="H242" i="1"/>
  <c r="G242" i="1"/>
  <c r="J241" i="1"/>
  <c r="K241" i="1" s="1"/>
  <c r="I241" i="1"/>
  <c r="H241" i="1"/>
  <c r="G241" i="1"/>
  <c r="J240" i="1"/>
  <c r="K240" i="1" s="1"/>
  <c r="I240" i="1"/>
  <c r="H240" i="1"/>
  <c r="G240" i="1"/>
  <c r="J239" i="1"/>
  <c r="I239" i="1"/>
  <c r="H239" i="1"/>
  <c r="G239" i="1"/>
  <c r="J238" i="1"/>
  <c r="K238" i="1" s="1"/>
  <c r="I238" i="1"/>
  <c r="H238" i="1"/>
  <c r="G238" i="1"/>
  <c r="J237" i="1"/>
  <c r="K237" i="1" s="1"/>
  <c r="I237" i="1"/>
  <c r="H237" i="1"/>
  <c r="G237" i="1"/>
  <c r="J236" i="1"/>
  <c r="K236" i="1" s="1"/>
  <c r="I236" i="1"/>
  <c r="H236" i="1"/>
  <c r="G236" i="1"/>
  <c r="J235" i="1"/>
  <c r="I235" i="1"/>
  <c r="H235" i="1"/>
  <c r="G235" i="1"/>
  <c r="J234" i="1"/>
  <c r="I234" i="1"/>
  <c r="H234" i="1"/>
  <c r="G234" i="1"/>
  <c r="J233" i="1"/>
  <c r="K233" i="1" s="1"/>
  <c r="I233" i="1"/>
  <c r="H233" i="1"/>
  <c r="G233" i="1"/>
  <c r="J232" i="1"/>
  <c r="I232" i="1"/>
  <c r="H232" i="1"/>
  <c r="G232" i="1"/>
  <c r="J231" i="1"/>
  <c r="K231" i="1" s="1"/>
  <c r="I231" i="1"/>
  <c r="H231" i="1"/>
  <c r="G231" i="1"/>
  <c r="J230" i="1"/>
  <c r="K230" i="1" s="1"/>
  <c r="I230" i="1"/>
  <c r="H230" i="1"/>
  <c r="G230" i="1"/>
  <c r="J229" i="1"/>
  <c r="K229" i="1" s="1"/>
  <c r="I229" i="1"/>
  <c r="H229" i="1"/>
  <c r="G229" i="1"/>
  <c r="J228" i="1"/>
  <c r="K228" i="1" s="1"/>
  <c r="I228" i="1"/>
  <c r="H228" i="1"/>
  <c r="G228" i="1"/>
  <c r="J227" i="1"/>
  <c r="I227" i="1"/>
  <c r="H227" i="1"/>
  <c r="G227" i="1"/>
  <c r="J226" i="1"/>
  <c r="K226" i="1" s="1"/>
  <c r="I226" i="1"/>
  <c r="H226" i="1"/>
  <c r="G226" i="1"/>
  <c r="J225" i="1"/>
  <c r="K225" i="1" s="1"/>
  <c r="I225" i="1"/>
  <c r="H225" i="1"/>
  <c r="G225" i="1"/>
  <c r="J224" i="1"/>
  <c r="K224" i="1" s="1"/>
  <c r="I224" i="1"/>
  <c r="H224" i="1"/>
  <c r="G224" i="1"/>
  <c r="J223" i="1"/>
  <c r="K223" i="1" s="1"/>
  <c r="I223" i="1"/>
  <c r="H223" i="1"/>
  <c r="G223" i="1"/>
  <c r="J222" i="1"/>
  <c r="I222" i="1"/>
  <c r="H222" i="1"/>
  <c r="G222" i="1"/>
  <c r="J221" i="1"/>
  <c r="I221" i="1"/>
  <c r="H221" i="1"/>
  <c r="G221" i="1"/>
  <c r="J220" i="1"/>
  <c r="I220" i="1"/>
  <c r="H220" i="1"/>
  <c r="G220" i="1"/>
  <c r="J219" i="1"/>
  <c r="I219" i="1"/>
  <c r="H219" i="1"/>
  <c r="G219" i="1"/>
  <c r="J218" i="1"/>
  <c r="I218" i="1"/>
  <c r="H218" i="1"/>
  <c r="G218" i="1"/>
  <c r="J217" i="1"/>
  <c r="K217" i="1" s="1"/>
  <c r="I217" i="1"/>
  <c r="H217" i="1"/>
  <c r="G217" i="1"/>
  <c r="J216" i="1"/>
  <c r="I216" i="1"/>
  <c r="H216" i="1"/>
  <c r="G216" i="1"/>
  <c r="J215" i="1"/>
  <c r="K215" i="1" s="1"/>
  <c r="I215" i="1"/>
  <c r="H215" i="1"/>
  <c r="G215" i="1"/>
  <c r="J214" i="1"/>
  <c r="K214" i="1" s="1"/>
  <c r="I214" i="1"/>
  <c r="H214" i="1"/>
  <c r="G214" i="1"/>
  <c r="J213" i="1"/>
  <c r="K213" i="1" s="1"/>
  <c r="I213" i="1"/>
  <c r="H213" i="1"/>
  <c r="G213" i="1"/>
  <c r="J212" i="1"/>
  <c r="K212" i="1" s="1"/>
  <c r="I212" i="1"/>
  <c r="H212" i="1"/>
  <c r="G212" i="1"/>
  <c r="J211" i="1"/>
  <c r="K211" i="1" s="1"/>
  <c r="I211" i="1"/>
  <c r="H211" i="1"/>
  <c r="G211" i="1"/>
  <c r="J210" i="1"/>
  <c r="K210" i="1" s="1"/>
  <c r="I210" i="1"/>
  <c r="H210" i="1"/>
  <c r="G210" i="1"/>
  <c r="J209" i="1"/>
  <c r="K209" i="1" s="1"/>
  <c r="I209" i="1"/>
  <c r="H209" i="1"/>
  <c r="G209" i="1"/>
  <c r="J208" i="1"/>
  <c r="K208" i="1" s="1"/>
  <c r="I208" i="1"/>
  <c r="H208" i="1"/>
  <c r="G208" i="1"/>
  <c r="J207" i="1"/>
  <c r="K207" i="1" s="1"/>
  <c r="I207" i="1"/>
  <c r="H207" i="1"/>
  <c r="G207" i="1"/>
  <c r="J206" i="1"/>
  <c r="I206" i="1"/>
  <c r="H206" i="1"/>
  <c r="G206" i="1"/>
  <c r="J205" i="1"/>
  <c r="I205" i="1"/>
  <c r="H205" i="1"/>
  <c r="G205" i="1"/>
  <c r="J204" i="1"/>
  <c r="I204" i="1"/>
  <c r="H204" i="1"/>
  <c r="G204" i="1"/>
  <c r="J203" i="1"/>
  <c r="K203" i="1" s="1"/>
  <c r="I203" i="1"/>
  <c r="H203" i="1"/>
  <c r="G203" i="1"/>
  <c r="J202" i="1"/>
  <c r="K202" i="1" s="1"/>
  <c r="I202" i="1"/>
  <c r="H202" i="1"/>
  <c r="G202" i="1"/>
  <c r="J201" i="1"/>
  <c r="K201" i="1" s="1"/>
  <c r="I201" i="1"/>
  <c r="H201" i="1"/>
  <c r="G201" i="1"/>
  <c r="J200" i="1"/>
  <c r="I200" i="1"/>
  <c r="H200" i="1"/>
  <c r="G200" i="1"/>
  <c r="J199" i="1"/>
  <c r="I199" i="1"/>
  <c r="H199" i="1"/>
  <c r="G199" i="1"/>
  <c r="J198" i="1"/>
  <c r="I198" i="1"/>
  <c r="H198" i="1"/>
  <c r="G198" i="1"/>
  <c r="J197" i="1"/>
  <c r="K197" i="1" s="1"/>
  <c r="I197" i="1"/>
  <c r="H197" i="1"/>
  <c r="G197" i="1"/>
  <c r="J196" i="1"/>
  <c r="K196" i="1" s="1"/>
  <c r="I196" i="1"/>
  <c r="H196" i="1"/>
  <c r="G196" i="1"/>
  <c r="J195" i="1"/>
  <c r="K195" i="1" s="1"/>
  <c r="I195" i="1"/>
  <c r="H195" i="1"/>
  <c r="G195" i="1"/>
  <c r="J194" i="1"/>
  <c r="I194" i="1"/>
  <c r="H194" i="1"/>
  <c r="G194" i="1"/>
  <c r="J193" i="1"/>
  <c r="I193" i="1"/>
  <c r="H193" i="1"/>
  <c r="G193" i="1"/>
  <c r="J192" i="1"/>
  <c r="K192" i="1" s="1"/>
  <c r="I192" i="1"/>
  <c r="H192" i="1"/>
  <c r="G192" i="1"/>
  <c r="J191" i="1"/>
  <c r="K191" i="1" s="1"/>
  <c r="I191" i="1"/>
  <c r="H191" i="1"/>
  <c r="G191" i="1"/>
  <c r="J190" i="1"/>
  <c r="K190" i="1" s="1"/>
  <c r="I190" i="1"/>
  <c r="H190" i="1"/>
  <c r="G190" i="1"/>
  <c r="J189" i="1"/>
  <c r="K189" i="1" s="1"/>
  <c r="I189" i="1"/>
  <c r="H189" i="1"/>
  <c r="G189" i="1"/>
  <c r="J188" i="1"/>
  <c r="K188" i="1" s="1"/>
  <c r="I188" i="1"/>
  <c r="H188" i="1"/>
  <c r="G188" i="1"/>
  <c r="J187" i="1"/>
  <c r="I187" i="1"/>
  <c r="H187" i="1"/>
  <c r="G187" i="1"/>
  <c r="J186" i="1"/>
  <c r="K186" i="1" s="1"/>
  <c r="I186" i="1"/>
  <c r="H186" i="1"/>
  <c r="G186" i="1"/>
  <c r="J185" i="1"/>
  <c r="K185" i="1" s="1"/>
  <c r="I185" i="1"/>
  <c r="H185" i="1"/>
  <c r="G185" i="1"/>
  <c r="J184" i="1"/>
  <c r="I184" i="1"/>
  <c r="H184" i="1"/>
  <c r="G184" i="1"/>
  <c r="J183" i="1"/>
  <c r="K183" i="1" s="1"/>
  <c r="I183" i="1"/>
  <c r="H183" i="1"/>
  <c r="G183" i="1"/>
  <c r="J182" i="1"/>
  <c r="K182" i="1" s="1"/>
  <c r="I182" i="1"/>
  <c r="H182" i="1"/>
  <c r="G182" i="1"/>
  <c r="J181" i="1"/>
  <c r="I181" i="1"/>
  <c r="H181" i="1"/>
  <c r="G181" i="1"/>
  <c r="J180" i="1"/>
  <c r="K180" i="1" s="1"/>
  <c r="I180" i="1"/>
  <c r="H180" i="1"/>
  <c r="G180" i="1"/>
  <c r="J179" i="1"/>
  <c r="I179" i="1"/>
  <c r="H179" i="1"/>
  <c r="G179" i="1"/>
  <c r="J178" i="1"/>
  <c r="K178" i="1" s="1"/>
  <c r="I178" i="1"/>
  <c r="H178" i="1"/>
  <c r="G178" i="1"/>
  <c r="J177" i="1"/>
  <c r="K177" i="1" s="1"/>
  <c r="I177" i="1"/>
  <c r="H177" i="1"/>
  <c r="G177" i="1"/>
  <c r="J176" i="1"/>
  <c r="K176" i="1" s="1"/>
  <c r="I176" i="1"/>
  <c r="H176" i="1"/>
  <c r="G176" i="1"/>
  <c r="J175" i="1"/>
  <c r="I175" i="1"/>
  <c r="H175" i="1"/>
  <c r="G175" i="1"/>
  <c r="J174" i="1"/>
  <c r="K174" i="1" s="1"/>
  <c r="I174" i="1"/>
  <c r="H174" i="1"/>
  <c r="G174" i="1"/>
  <c r="J173" i="1"/>
  <c r="K173" i="1" s="1"/>
  <c r="I173" i="1"/>
  <c r="H173" i="1"/>
  <c r="G173" i="1"/>
  <c r="J172" i="1"/>
  <c r="K172" i="1" s="1"/>
  <c r="I172" i="1"/>
  <c r="H172" i="1"/>
  <c r="G172" i="1"/>
  <c r="J171" i="1"/>
  <c r="K171" i="1" s="1"/>
  <c r="I171" i="1"/>
  <c r="H171" i="1"/>
  <c r="G171" i="1"/>
  <c r="J170" i="1"/>
  <c r="K170" i="1" s="1"/>
  <c r="I170" i="1"/>
  <c r="H170" i="1"/>
  <c r="G170" i="1"/>
  <c r="J169" i="1"/>
  <c r="K169" i="1" s="1"/>
  <c r="I169" i="1"/>
  <c r="H169" i="1"/>
  <c r="G169" i="1"/>
  <c r="J168" i="1"/>
  <c r="K168" i="1" s="1"/>
  <c r="I168" i="1"/>
  <c r="H168" i="1"/>
  <c r="G168" i="1"/>
  <c r="J167" i="1"/>
  <c r="I167" i="1"/>
  <c r="H167" i="1"/>
  <c r="G167" i="1"/>
  <c r="J166" i="1"/>
  <c r="I166" i="1"/>
  <c r="H166" i="1"/>
  <c r="G166" i="1"/>
  <c r="J165" i="1"/>
  <c r="K165" i="1" s="1"/>
  <c r="I165" i="1"/>
  <c r="H165" i="1"/>
  <c r="G165" i="1"/>
  <c r="J164" i="1"/>
  <c r="K164" i="1" s="1"/>
  <c r="I164" i="1"/>
  <c r="H164" i="1"/>
  <c r="G164" i="1"/>
  <c r="J163" i="1"/>
  <c r="I163" i="1"/>
  <c r="H163" i="1"/>
  <c r="G163" i="1"/>
  <c r="J162" i="1"/>
  <c r="I162" i="1"/>
  <c r="H162" i="1"/>
  <c r="G162" i="1"/>
  <c r="J161" i="1"/>
  <c r="K161" i="1" s="1"/>
  <c r="I161" i="1"/>
  <c r="H161" i="1"/>
  <c r="G161" i="1"/>
  <c r="J160" i="1"/>
  <c r="K160" i="1" s="1"/>
  <c r="I160" i="1"/>
  <c r="H160" i="1"/>
  <c r="G160" i="1"/>
  <c r="J159" i="1"/>
  <c r="K159" i="1" s="1"/>
  <c r="I159" i="1"/>
  <c r="H159" i="1"/>
  <c r="G159" i="1"/>
  <c r="J158" i="1"/>
  <c r="K158" i="1" s="1"/>
  <c r="I158" i="1"/>
  <c r="H158" i="1"/>
  <c r="G158" i="1"/>
  <c r="J157" i="1"/>
  <c r="K157" i="1" s="1"/>
  <c r="I157" i="1"/>
  <c r="H157" i="1"/>
  <c r="G157" i="1"/>
  <c r="J156" i="1"/>
  <c r="I156" i="1"/>
  <c r="H156" i="1"/>
  <c r="G156" i="1"/>
  <c r="J155" i="1"/>
  <c r="K155" i="1" s="1"/>
  <c r="I155" i="1"/>
  <c r="H155" i="1"/>
  <c r="G155" i="1"/>
  <c r="J154" i="1"/>
  <c r="I154" i="1"/>
  <c r="H154" i="1"/>
  <c r="G154" i="1"/>
  <c r="J153" i="1"/>
  <c r="K153" i="1" s="1"/>
  <c r="I153" i="1"/>
  <c r="H153" i="1"/>
  <c r="G153" i="1"/>
  <c r="J152" i="1"/>
  <c r="I152" i="1"/>
  <c r="H152" i="1"/>
  <c r="G152" i="1"/>
  <c r="J151" i="1"/>
  <c r="K151" i="1" s="1"/>
  <c r="I151" i="1"/>
  <c r="H151" i="1"/>
  <c r="G151" i="1"/>
  <c r="J150" i="1"/>
  <c r="K150" i="1" s="1"/>
  <c r="I150" i="1"/>
  <c r="H150" i="1"/>
  <c r="G150" i="1"/>
  <c r="J149" i="1"/>
  <c r="K149" i="1" s="1"/>
  <c r="I149" i="1"/>
  <c r="H149" i="1"/>
  <c r="G149" i="1"/>
  <c r="J148" i="1"/>
  <c r="K148" i="1" s="1"/>
  <c r="I148" i="1"/>
  <c r="H148" i="1"/>
  <c r="G148" i="1"/>
  <c r="J147" i="1"/>
  <c r="I147" i="1"/>
  <c r="H147" i="1"/>
  <c r="G147" i="1"/>
  <c r="J146" i="1"/>
  <c r="I146" i="1"/>
  <c r="H146" i="1"/>
  <c r="G146" i="1"/>
  <c r="J145" i="1"/>
  <c r="K145" i="1" s="1"/>
  <c r="I145" i="1"/>
  <c r="H145" i="1"/>
  <c r="G145" i="1"/>
  <c r="J144" i="1"/>
  <c r="K144" i="1" s="1"/>
  <c r="I144" i="1"/>
  <c r="H144" i="1"/>
  <c r="G144" i="1"/>
  <c r="J143" i="1"/>
  <c r="I143" i="1"/>
  <c r="H143" i="1"/>
  <c r="G143" i="1"/>
  <c r="J142" i="1"/>
  <c r="K142" i="1" s="1"/>
  <c r="I142" i="1"/>
  <c r="H142" i="1"/>
  <c r="G142" i="1"/>
  <c r="J141" i="1"/>
  <c r="I141" i="1"/>
  <c r="H141" i="1"/>
  <c r="G141" i="1"/>
  <c r="J140" i="1"/>
  <c r="I140" i="1"/>
  <c r="H140" i="1"/>
  <c r="G140" i="1"/>
  <c r="J139" i="1"/>
  <c r="K139" i="1" s="1"/>
  <c r="I139" i="1"/>
  <c r="H139" i="1"/>
  <c r="G139" i="1"/>
  <c r="J138" i="1"/>
  <c r="I138" i="1"/>
  <c r="H138" i="1"/>
  <c r="G138" i="1"/>
  <c r="J137" i="1"/>
  <c r="K137" i="1" s="1"/>
  <c r="I137" i="1"/>
  <c r="H137" i="1"/>
  <c r="G137" i="1"/>
  <c r="J136" i="1"/>
  <c r="K136" i="1" s="1"/>
  <c r="I136" i="1"/>
  <c r="H136" i="1"/>
  <c r="G136" i="1"/>
  <c r="J135" i="1"/>
  <c r="K135" i="1" s="1"/>
  <c r="I135" i="1"/>
  <c r="H135" i="1"/>
  <c r="G135" i="1"/>
  <c r="J134" i="1"/>
  <c r="I134" i="1"/>
  <c r="H134" i="1"/>
  <c r="G134" i="1"/>
  <c r="J133" i="1"/>
  <c r="I133" i="1"/>
  <c r="H133" i="1"/>
  <c r="G133" i="1"/>
  <c r="J132" i="1"/>
  <c r="I132" i="1"/>
  <c r="H132" i="1"/>
  <c r="G132" i="1"/>
  <c r="J131" i="1"/>
  <c r="K131" i="1" s="1"/>
  <c r="I131" i="1"/>
  <c r="H131" i="1"/>
  <c r="G131" i="1"/>
  <c r="J130" i="1"/>
  <c r="I130" i="1"/>
  <c r="H130" i="1"/>
  <c r="G130" i="1"/>
  <c r="J129" i="1"/>
  <c r="K129" i="1" s="1"/>
  <c r="I129" i="1"/>
  <c r="H129" i="1"/>
  <c r="G129" i="1"/>
  <c r="J128" i="1"/>
  <c r="K128" i="1" s="1"/>
  <c r="I128" i="1"/>
  <c r="H128" i="1"/>
  <c r="G128" i="1"/>
  <c r="J127" i="1"/>
  <c r="K127" i="1" s="1"/>
  <c r="I127" i="1"/>
  <c r="H127" i="1"/>
  <c r="G127" i="1"/>
  <c r="J126" i="1"/>
  <c r="K126" i="1" s="1"/>
  <c r="I126" i="1"/>
  <c r="H126" i="1"/>
  <c r="G126" i="1"/>
  <c r="J125" i="1"/>
  <c r="K125" i="1" s="1"/>
  <c r="I125" i="1"/>
  <c r="H125" i="1"/>
  <c r="G125" i="1"/>
  <c r="J124" i="1"/>
  <c r="I124" i="1"/>
  <c r="H124" i="1"/>
  <c r="G124" i="1"/>
  <c r="J123" i="1"/>
  <c r="K123" i="1" s="1"/>
  <c r="I123" i="1"/>
  <c r="H123" i="1"/>
  <c r="G123" i="1"/>
  <c r="J122" i="1"/>
  <c r="K122" i="1" s="1"/>
  <c r="I122" i="1"/>
  <c r="H122" i="1"/>
  <c r="G122" i="1"/>
  <c r="J121" i="1"/>
  <c r="K121" i="1" s="1"/>
  <c r="I121" i="1"/>
  <c r="H121" i="1"/>
  <c r="G121" i="1"/>
  <c r="J120" i="1"/>
  <c r="I120" i="1"/>
  <c r="H120" i="1"/>
  <c r="G120" i="1"/>
  <c r="J119" i="1"/>
  <c r="K119" i="1" s="1"/>
  <c r="I119" i="1"/>
  <c r="H119" i="1"/>
  <c r="G119" i="1"/>
  <c r="J118" i="1"/>
  <c r="I118" i="1"/>
  <c r="H118" i="1"/>
  <c r="G118" i="1"/>
  <c r="J117" i="1"/>
  <c r="K117" i="1" s="1"/>
  <c r="I117" i="1"/>
  <c r="H117" i="1"/>
  <c r="G117" i="1"/>
  <c r="J116" i="1"/>
  <c r="K116" i="1" s="1"/>
  <c r="I116" i="1"/>
  <c r="H116" i="1"/>
  <c r="G116" i="1"/>
  <c r="J115" i="1"/>
  <c r="I115" i="1"/>
  <c r="H115" i="1"/>
  <c r="G115" i="1"/>
  <c r="J114" i="1"/>
  <c r="I114" i="1"/>
  <c r="H114" i="1"/>
  <c r="G114" i="1"/>
  <c r="J113" i="1"/>
  <c r="I113" i="1"/>
  <c r="H113" i="1"/>
  <c r="G113" i="1"/>
  <c r="J112" i="1"/>
  <c r="K112" i="1" s="1"/>
  <c r="I112" i="1"/>
  <c r="H112" i="1"/>
  <c r="G112" i="1"/>
  <c r="J111" i="1"/>
  <c r="K111" i="1" s="1"/>
  <c r="I111" i="1"/>
  <c r="H111" i="1"/>
  <c r="G111" i="1"/>
  <c r="J110" i="1"/>
  <c r="K110" i="1" s="1"/>
  <c r="I110" i="1"/>
  <c r="H110" i="1"/>
  <c r="G110" i="1"/>
  <c r="J109" i="1"/>
  <c r="K109" i="1" s="1"/>
  <c r="I109" i="1"/>
  <c r="H109" i="1"/>
  <c r="G109" i="1"/>
  <c r="J108" i="1"/>
  <c r="K108" i="1" s="1"/>
  <c r="I108" i="1"/>
  <c r="H108" i="1"/>
  <c r="G108" i="1"/>
  <c r="J107" i="1"/>
  <c r="I107" i="1"/>
  <c r="H107" i="1"/>
  <c r="G107" i="1"/>
  <c r="J106" i="1"/>
  <c r="K106" i="1" s="1"/>
  <c r="I106" i="1"/>
  <c r="H106" i="1"/>
  <c r="G106" i="1"/>
  <c r="J105" i="1"/>
  <c r="I105" i="1"/>
  <c r="H105" i="1"/>
  <c r="G105" i="1"/>
  <c r="J104" i="1"/>
  <c r="K104" i="1" s="1"/>
  <c r="I104" i="1"/>
  <c r="H104" i="1"/>
  <c r="G104" i="1"/>
  <c r="J103" i="1"/>
  <c r="I103" i="1"/>
  <c r="H103" i="1"/>
  <c r="G103" i="1"/>
  <c r="J102" i="1"/>
  <c r="I102" i="1"/>
  <c r="H102" i="1"/>
  <c r="G102" i="1"/>
  <c r="J101" i="1"/>
  <c r="I101" i="1"/>
  <c r="H101" i="1"/>
  <c r="G101" i="1"/>
  <c r="J100" i="1"/>
  <c r="I100" i="1"/>
  <c r="H100" i="1"/>
  <c r="G100" i="1"/>
  <c r="J99" i="1"/>
  <c r="K99" i="1" s="1"/>
  <c r="I99" i="1"/>
  <c r="H99" i="1"/>
  <c r="G99" i="1"/>
  <c r="J98" i="1"/>
  <c r="I98" i="1"/>
  <c r="H98" i="1"/>
  <c r="G98" i="1"/>
  <c r="J97" i="1"/>
  <c r="K97" i="1" s="1"/>
  <c r="I97" i="1"/>
  <c r="H97" i="1"/>
  <c r="G97" i="1"/>
  <c r="J96" i="1"/>
  <c r="K96" i="1" s="1"/>
  <c r="I96" i="1"/>
  <c r="H96" i="1"/>
  <c r="G96" i="1"/>
  <c r="J95" i="1"/>
  <c r="K95" i="1" s="1"/>
  <c r="I95" i="1"/>
  <c r="H95" i="1"/>
  <c r="G95" i="1"/>
  <c r="J94" i="1"/>
  <c r="I94" i="1"/>
  <c r="H94" i="1"/>
  <c r="G94" i="1"/>
  <c r="J93" i="1"/>
  <c r="K93" i="1" s="1"/>
  <c r="I93" i="1"/>
  <c r="H93" i="1"/>
  <c r="G93" i="1"/>
  <c r="J92" i="1"/>
  <c r="I92" i="1"/>
  <c r="H92" i="1"/>
  <c r="G92" i="1"/>
  <c r="J91" i="1"/>
  <c r="I91" i="1"/>
  <c r="H91" i="1"/>
  <c r="G91" i="1"/>
  <c r="J90" i="1"/>
  <c r="K90" i="1" s="1"/>
  <c r="I90" i="1"/>
  <c r="H90" i="1"/>
  <c r="G90" i="1"/>
  <c r="J89" i="1"/>
  <c r="K89" i="1" s="1"/>
  <c r="I89" i="1"/>
  <c r="H89" i="1"/>
  <c r="G89" i="1"/>
  <c r="J88" i="1"/>
  <c r="K88" i="1" s="1"/>
  <c r="I88" i="1"/>
  <c r="H88" i="1"/>
  <c r="G88" i="1"/>
  <c r="J87" i="1"/>
  <c r="K87" i="1" s="1"/>
  <c r="I87" i="1"/>
  <c r="H87" i="1"/>
  <c r="G87" i="1"/>
  <c r="J86" i="1"/>
  <c r="I86" i="1"/>
  <c r="H86" i="1"/>
  <c r="G86" i="1"/>
  <c r="J85" i="1"/>
  <c r="K85" i="1" s="1"/>
  <c r="I85" i="1"/>
  <c r="H85" i="1"/>
  <c r="G85" i="1"/>
  <c r="J84" i="1"/>
  <c r="K84" i="1" s="1"/>
  <c r="I84" i="1"/>
  <c r="H84" i="1"/>
  <c r="G84" i="1"/>
  <c r="J83" i="1"/>
  <c r="K83" i="1" s="1"/>
  <c r="I83" i="1"/>
  <c r="H83" i="1"/>
  <c r="G83" i="1"/>
  <c r="J82" i="1"/>
  <c r="I82" i="1"/>
  <c r="H82" i="1"/>
  <c r="G82" i="1"/>
  <c r="J81" i="1"/>
  <c r="I81" i="1"/>
  <c r="H81" i="1"/>
  <c r="G81" i="1"/>
  <c r="J80" i="1"/>
  <c r="K80" i="1" s="1"/>
  <c r="I80" i="1"/>
  <c r="H80" i="1"/>
  <c r="G80" i="1"/>
  <c r="J79" i="1"/>
  <c r="I79" i="1"/>
  <c r="H79" i="1"/>
  <c r="G79" i="1"/>
  <c r="J78" i="1"/>
  <c r="K78" i="1" s="1"/>
  <c r="I78" i="1"/>
  <c r="H78" i="1"/>
  <c r="G78" i="1"/>
  <c r="J77" i="1"/>
  <c r="I77" i="1"/>
  <c r="H77" i="1"/>
  <c r="G77" i="1"/>
  <c r="J76" i="1"/>
  <c r="K76" i="1" s="1"/>
  <c r="I76" i="1"/>
  <c r="H76" i="1"/>
  <c r="G76" i="1"/>
  <c r="J75" i="1"/>
  <c r="I75" i="1"/>
  <c r="H75" i="1"/>
  <c r="G75" i="1"/>
  <c r="J74" i="1"/>
  <c r="K74" i="1" s="1"/>
  <c r="I74" i="1"/>
  <c r="H74" i="1"/>
  <c r="G74" i="1"/>
  <c r="J73" i="1"/>
  <c r="I73" i="1"/>
  <c r="H73" i="1"/>
  <c r="G73" i="1"/>
  <c r="J72" i="1"/>
  <c r="I72" i="1"/>
  <c r="H72" i="1"/>
  <c r="G72" i="1"/>
  <c r="J71" i="1"/>
  <c r="I71" i="1"/>
  <c r="H71" i="1"/>
  <c r="G71" i="1"/>
  <c r="J70" i="1"/>
  <c r="K70" i="1" s="1"/>
  <c r="I70" i="1"/>
  <c r="H70" i="1"/>
  <c r="G70" i="1"/>
  <c r="J69" i="1"/>
  <c r="I69" i="1"/>
  <c r="H69" i="1"/>
  <c r="G69" i="1"/>
  <c r="J68" i="1"/>
  <c r="I68" i="1"/>
  <c r="H68" i="1"/>
  <c r="G68" i="1"/>
  <c r="J67" i="1"/>
  <c r="K67" i="1" s="1"/>
  <c r="I67" i="1"/>
  <c r="H67" i="1"/>
  <c r="G67" i="1"/>
  <c r="J66" i="1"/>
  <c r="I66" i="1"/>
  <c r="H66" i="1"/>
  <c r="G66" i="1"/>
  <c r="J65" i="1"/>
  <c r="K65" i="1" s="1"/>
  <c r="I65" i="1"/>
  <c r="H65" i="1"/>
  <c r="G65" i="1"/>
  <c r="J64" i="1"/>
  <c r="I64" i="1"/>
  <c r="H64" i="1"/>
  <c r="G64" i="1"/>
  <c r="J63" i="1"/>
  <c r="K63" i="1" s="1"/>
  <c r="I63" i="1"/>
  <c r="H63" i="1"/>
  <c r="G63" i="1"/>
  <c r="J62" i="1"/>
  <c r="K62" i="1" s="1"/>
  <c r="I62" i="1"/>
  <c r="H62" i="1"/>
  <c r="G62" i="1"/>
  <c r="J61" i="1"/>
  <c r="K61" i="1" s="1"/>
  <c r="I61" i="1"/>
  <c r="H61" i="1"/>
  <c r="G61" i="1"/>
  <c r="J60" i="1"/>
  <c r="I60" i="1"/>
  <c r="H60" i="1"/>
  <c r="G60" i="1"/>
  <c r="J59" i="1"/>
  <c r="K59" i="1" s="1"/>
  <c r="I59" i="1"/>
  <c r="H59" i="1"/>
  <c r="G59" i="1"/>
  <c r="J58" i="1"/>
  <c r="I58" i="1"/>
  <c r="H58" i="1"/>
  <c r="G58" i="1"/>
  <c r="J57" i="1"/>
  <c r="K57" i="1" s="1"/>
  <c r="I57" i="1"/>
  <c r="H57" i="1"/>
  <c r="G57" i="1"/>
  <c r="J56" i="1"/>
  <c r="I56" i="1"/>
  <c r="H56" i="1"/>
  <c r="G56" i="1"/>
  <c r="J55" i="1"/>
  <c r="I55" i="1"/>
  <c r="H55" i="1"/>
  <c r="G55" i="1"/>
  <c r="J54" i="1"/>
  <c r="I54" i="1"/>
  <c r="H54" i="1"/>
  <c r="G54" i="1"/>
  <c r="J53" i="1"/>
  <c r="K53" i="1" s="1"/>
  <c r="I53" i="1"/>
  <c r="H53" i="1"/>
  <c r="G53" i="1"/>
  <c r="J52" i="1"/>
  <c r="I52" i="1"/>
  <c r="H52" i="1"/>
  <c r="G52" i="1"/>
  <c r="J51" i="1"/>
  <c r="K51" i="1" s="1"/>
  <c r="I51" i="1"/>
  <c r="H51" i="1"/>
  <c r="G51" i="1"/>
  <c r="J50" i="1"/>
  <c r="K50" i="1" s="1"/>
  <c r="I50" i="1"/>
  <c r="H50" i="1"/>
  <c r="G50" i="1"/>
  <c r="J49" i="1"/>
  <c r="I49" i="1"/>
  <c r="H49" i="1"/>
  <c r="G49" i="1"/>
  <c r="J48" i="1"/>
  <c r="K48" i="1" s="1"/>
  <c r="I48" i="1"/>
  <c r="H48" i="1"/>
  <c r="G48" i="1"/>
  <c r="J47" i="1"/>
  <c r="K47" i="1" s="1"/>
  <c r="I47" i="1"/>
  <c r="H47" i="1"/>
  <c r="G47" i="1"/>
  <c r="J46" i="1"/>
  <c r="I46" i="1"/>
  <c r="H46" i="1"/>
  <c r="G46" i="1"/>
  <c r="J45" i="1"/>
  <c r="I45" i="1"/>
  <c r="H45" i="1"/>
  <c r="G45" i="1"/>
  <c r="J44" i="1"/>
  <c r="I44" i="1"/>
  <c r="H44" i="1"/>
  <c r="G44" i="1"/>
  <c r="J43" i="1"/>
  <c r="I43" i="1"/>
  <c r="H43" i="1"/>
  <c r="G43" i="1"/>
  <c r="J42" i="1"/>
  <c r="K42" i="1" s="1"/>
  <c r="I42" i="1"/>
  <c r="H42" i="1"/>
  <c r="G42" i="1"/>
  <c r="J41" i="1"/>
  <c r="I41" i="1"/>
  <c r="H41" i="1"/>
  <c r="G41" i="1"/>
  <c r="J40" i="1"/>
  <c r="I40" i="1"/>
  <c r="H40" i="1"/>
  <c r="G40" i="1"/>
  <c r="J39" i="1"/>
  <c r="K39" i="1" s="1"/>
  <c r="I39" i="1"/>
  <c r="H39" i="1"/>
  <c r="G39" i="1"/>
  <c r="J38" i="1"/>
  <c r="K38" i="1" s="1"/>
  <c r="I38" i="1"/>
  <c r="H38" i="1"/>
  <c r="G38" i="1"/>
  <c r="J37" i="1"/>
  <c r="I37" i="1"/>
  <c r="H37" i="1"/>
  <c r="G37" i="1"/>
  <c r="J36" i="1"/>
  <c r="I36" i="1"/>
  <c r="H36" i="1"/>
  <c r="G36" i="1"/>
  <c r="J35" i="1"/>
  <c r="K35" i="1" s="1"/>
  <c r="I35" i="1"/>
  <c r="H35" i="1"/>
  <c r="G35" i="1"/>
  <c r="J34" i="1"/>
  <c r="I34" i="1"/>
  <c r="H34" i="1"/>
  <c r="G34" i="1"/>
  <c r="J33" i="1"/>
  <c r="I33" i="1"/>
  <c r="H33" i="1"/>
  <c r="G33" i="1"/>
  <c r="J32" i="1"/>
  <c r="K32" i="1" s="1"/>
  <c r="I32" i="1"/>
  <c r="H32" i="1"/>
  <c r="G32" i="1"/>
  <c r="J31" i="1"/>
  <c r="K31" i="1" s="1"/>
  <c r="I31" i="1"/>
  <c r="H31" i="1"/>
  <c r="G31" i="1"/>
  <c r="J30" i="1"/>
  <c r="I30" i="1"/>
  <c r="H30" i="1"/>
  <c r="G30" i="1"/>
  <c r="J29" i="1"/>
  <c r="K29" i="1" s="1"/>
  <c r="I29" i="1"/>
  <c r="H29" i="1"/>
  <c r="G29" i="1"/>
  <c r="J28" i="1"/>
  <c r="I28" i="1"/>
  <c r="H28" i="1"/>
  <c r="G28" i="1"/>
  <c r="J27" i="1"/>
  <c r="K27" i="1" s="1"/>
  <c r="I27" i="1"/>
  <c r="H27" i="1"/>
  <c r="G27" i="1"/>
  <c r="J26" i="1"/>
  <c r="K26" i="1" s="1"/>
  <c r="I26" i="1"/>
  <c r="H26" i="1"/>
  <c r="G26" i="1"/>
  <c r="J25" i="1"/>
  <c r="I25" i="1"/>
  <c r="H25" i="1"/>
  <c r="G25" i="1"/>
  <c r="J24" i="1"/>
  <c r="I24" i="1"/>
  <c r="H24" i="1"/>
  <c r="G24" i="1"/>
  <c r="J23" i="1"/>
  <c r="K23" i="1" s="1"/>
  <c r="I23" i="1"/>
  <c r="H23" i="1"/>
  <c r="G23" i="1"/>
  <c r="J22" i="1"/>
  <c r="I22" i="1"/>
  <c r="H22" i="1"/>
  <c r="G22" i="1"/>
  <c r="J21" i="1"/>
  <c r="K21" i="1" s="1"/>
  <c r="I21" i="1"/>
  <c r="H21" i="1"/>
  <c r="G21" i="1"/>
  <c r="J20" i="1"/>
  <c r="K20" i="1" s="1"/>
  <c r="I20" i="1"/>
  <c r="H20" i="1"/>
  <c r="G20" i="1"/>
  <c r="J19" i="1"/>
  <c r="I19" i="1"/>
  <c r="H19" i="1"/>
  <c r="G19" i="1"/>
  <c r="J18" i="1"/>
  <c r="K18" i="1" s="1"/>
  <c r="I18" i="1"/>
  <c r="H18" i="1"/>
  <c r="G18" i="1"/>
  <c r="J17" i="1"/>
  <c r="K17" i="1" s="1"/>
  <c r="I17" i="1"/>
  <c r="H17" i="1"/>
  <c r="G17" i="1"/>
  <c r="J16" i="1"/>
  <c r="I16" i="1"/>
  <c r="H16" i="1"/>
  <c r="G16" i="1"/>
  <c r="J15" i="1"/>
  <c r="K15" i="1" s="1"/>
  <c r="I15" i="1"/>
  <c r="H15" i="1"/>
  <c r="G15" i="1"/>
  <c r="J14" i="1"/>
  <c r="I14" i="1"/>
  <c r="H14" i="1"/>
  <c r="G14" i="1"/>
  <c r="J13" i="1"/>
  <c r="K13" i="1" s="1"/>
  <c r="I13" i="1"/>
  <c r="H13" i="1"/>
  <c r="G13" i="1"/>
  <c r="J12" i="1"/>
  <c r="I12" i="1"/>
  <c r="H12" i="1"/>
  <c r="G12" i="1"/>
  <c r="J11" i="1"/>
  <c r="I11" i="1"/>
  <c r="H11" i="1"/>
  <c r="G11" i="1"/>
  <c r="J10" i="1"/>
  <c r="I10" i="1"/>
  <c r="H10" i="1"/>
  <c r="G10" i="1"/>
  <c r="J9" i="1"/>
  <c r="I9" i="1"/>
  <c r="H9" i="1"/>
  <c r="G9" i="1"/>
  <c r="J8" i="1"/>
  <c r="I8" i="1"/>
  <c r="H8" i="1"/>
  <c r="G8" i="1"/>
  <c r="J7" i="1"/>
  <c r="I7" i="1"/>
  <c r="H7" i="1"/>
  <c r="G7" i="1"/>
  <c r="J6" i="1"/>
  <c r="I6" i="1"/>
  <c r="H6" i="1"/>
  <c r="G6" i="1"/>
  <c r="J5" i="1"/>
  <c r="K5" i="1" s="1"/>
  <c r="I5" i="1"/>
  <c r="H5" i="1"/>
  <c r="G5" i="1"/>
  <c r="J4" i="1"/>
  <c r="I4" i="1"/>
  <c r="H4" i="1"/>
  <c r="G4" i="1"/>
  <c r="J3" i="1"/>
  <c r="I3" i="1"/>
  <c r="H3" i="1"/>
  <c r="G3" i="1"/>
  <c r="J2" i="1"/>
  <c r="I2" i="1"/>
  <c r="H2" i="1"/>
  <c r="G2" i="1"/>
  <c r="F4" i="6"/>
  <c r="F3" i="6"/>
  <c r="F2" i="6"/>
  <c r="O7" i="1" l="1"/>
  <c r="M58" i="1"/>
  <c r="N58" i="1" s="1"/>
  <c r="M200" i="1"/>
  <c r="O246" i="1"/>
  <c r="K25" i="1"/>
  <c r="M56" i="1"/>
  <c r="O58" i="1"/>
  <c r="L54" i="1"/>
  <c r="M119" i="1"/>
  <c r="O249" i="1"/>
  <c r="L3" i="1"/>
  <c r="K249" i="1"/>
  <c r="M85" i="1"/>
  <c r="O37" i="1"/>
  <c r="M226" i="1"/>
  <c r="L56" i="1"/>
  <c r="M285" i="1"/>
  <c r="L28" i="1"/>
  <c r="L47" i="1"/>
  <c r="M70" i="1"/>
  <c r="L226" i="1"/>
  <c r="K37" i="1"/>
  <c r="K6" i="1"/>
  <c r="M54" i="1"/>
  <c r="M170" i="1"/>
  <c r="L122" i="1"/>
  <c r="L58" i="1"/>
  <c r="P58" i="1" s="1"/>
  <c r="Q58" i="1" s="1"/>
  <c r="M130" i="1"/>
  <c r="L156" i="1"/>
  <c r="O77" i="1"/>
  <c r="L220" i="1"/>
  <c r="M42" i="1"/>
  <c r="O25" i="1"/>
  <c r="L165" i="1"/>
  <c r="O104" i="1"/>
  <c r="O153" i="1"/>
  <c r="L37" i="1"/>
  <c r="P37" i="1" s="1"/>
  <c r="Q37" i="1" s="1"/>
  <c r="O171" i="1"/>
  <c r="K56" i="1"/>
  <c r="O28" i="1"/>
  <c r="P28" i="1" s="1"/>
  <c r="Q28" i="1" s="1"/>
  <c r="O56" i="1"/>
  <c r="L46" i="1"/>
  <c r="M65" i="1"/>
  <c r="L260" i="1"/>
  <c r="L22" i="1"/>
  <c r="M92" i="1"/>
  <c r="N92" i="1" s="1"/>
  <c r="M49" i="1"/>
  <c r="L92" i="1"/>
  <c r="M26" i="1"/>
  <c r="L132" i="1"/>
  <c r="M66" i="1"/>
  <c r="L74" i="1"/>
  <c r="L128" i="1"/>
  <c r="O45" i="1"/>
  <c r="M169" i="1"/>
  <c r="L8" i="1"/>
  <c r="M161" i="1"/>
  <c r="K132" i="1"/>
  <c r="O49" i="1"/>
  <c r="M83" i="1"/>
  <c r="M75" i="1"/>
  <c r="O75" i="1"/>
  <c r="L75" i="1"/>
  <c r="K33" i="1"/>
  <c r="O33" i="1"/>
  <c r="K40" i="1"/>
  <c r="L40" i="1"/>
  <c r="O40" i="1"/>
  <c r="L73" i="1"/>
  <c r="L85" i="1"/>
  <c r="L229" i="1"/>
  <c r="L16" i="1"/>
  <c r="O16" i="1"/>
  <c r="M127" i="1"/>
  <c r="M71" i="1"/>
  <c r="M16" i="1"/>
  <c r="M6" i="1"/>
  <c r="M186" i="1"/>
  <c r="M4" i="1"/>
  <c r="M72" i="1"/>
  <c r="M9" i="1"/>
  <c r="M7" i="1"/>
  <c r="M309" i="1"/>
  <c r="O80" i="1"/>
  <c r="L26" i="1"/>
  <c r="O26" i="1"/>
  <c r="O64" i="1"/>
  <c r="L145" i="1"/>
  <c r="L33" i="1"/>
  <c r="M51" i="1"/>
  <c r="O20" i="1"/>
  <c r="M34" i="1"/>
  <c r="O41" i="1"/>
  <c r="M52" i="1"/>
  <c r="M3" i="1"/>
  <c r="N3" i="1" s="1"/>
  <c r="M5" i="1"/>
  <c r="M98" i="1"/>
  <c r="M82" i="1"/>
  <c r="O89" i="1"/>
  <c r="K206" i="1"/>
  <c r="L206" i="1"/>
  <c r="O334" i="1"/>
  <c r="L334" i="1"/>
  <c r="K334" i="1"/>
  <c r="M45" i="1"/>
  <c r="L52" i="1"/>
  <c r="O52" i="1"/>
  <c r="K52" i="1"/>
  <c r="O85" i="1"/>
  <c r="O180" i="1"/>
  <c r="O70" i="1"/>
  <c r="O139" i="1"/>
  <c r="O93" i="1"/>
  <c r="O116" i="1"/>
  <c r="O120" i="1"/>
  <c r="O124" i="1"/>
  <c r="L124" i="1"/>
  <c r="K124" i="1"/>
  <c r="O140" i="1"/>
  <c r="K140" i="1"/>
  <c r="L140" i="1"/>
  <c r="M194" i="1"/>
  <c r="M177" i="1"/>
  <c r="O206" i="1"/>
  <c r="M214" i="1"/>
  <c r="O243" i="1"/>
  <c r="L243" i="1"/>
  <c r="O264" i="1"/>
  <c r="L264" i="1"/>
  <c r="K264" i="1"/>
  <c r="L5" i="1"/>
  <c r="M101" i="1"/>
  <c r="K243" i="1"/>
  <c r="L9" i="1"/>
  <c r="K9" i="1"/>
  <c r="L169" i="1"/>
  <c r="O317" i="1"/>
  <c r="L244" i="1"/>
  <c r="L317" i="1"/>
  <c r="O263" i="1"/>
  <c r="O225" i="1"/>
  <c r="O233" i="1"/>
  <c r="L263" i="1"/>
  <c r="O318" i="1"/>
  <c r="L276" i="1"/>
  <c r="O53" i="1"/>
  <c r="O251" i="1"/>
  <c r="L208" i="1"/>
  <c r="L134" i="1"/>
  <c r="O177" i="1"/>
  <c r="O227" i="1"/>
  <c r="L233" i="1"/>
  <c r="L223" i="1"/>
  <c r="O203" i="1"/>
  <c r="O188" i="1"/>
  <c r="O208" i="1"/>
  <c r="L131" i="1"/>
  <c r="O27" i="1"/>
  <c r="L162" i="1"/>
  <c r="L53" i="1"/>
  <c r="L152" i="1"/>
  <c r="L27" i="1"/>
  <c r="L251" i="1"/>
  <c r="O241" i="1"/>
  <c r="O224" i="1"/>
  <c r="O31" i="1"/>
  <c r="L177" i="1"/>
  <c r="O244" i="1"/>
  <c r="L241" i="1"/>
  <c r="O164" i="1"/>
  <c r="L303" i="1"/>
  <c r="L164" i="1"/>
  <c r="L31" i="1"/>
  <c r="O169" i="1"/>
  <c r="L138" i="1"/>
  <c r="O24" i="1"/>
  <c r="L188" i="1"/>
  <c r="L158" i="1"/>
  <c r="L62" i="1"/>
  <c r="O131" i="1"/>
  <c r="O39" i="1"/>
  <c r="L225" i="1"/>
  <c r="M62" i="1"/>
  <c r="M90" i="1"/>
  <c r="M21" i="1"/>
  <c r="K24" i="1"/>
  <c r="M158" i="1"/>
  <c r="M187" i="1"/>
  <c r="L24" i="1"/>
  <c r="M87" i="1"/>
  <c r="O94" i="1"/>
  <c r="K94" i="1"/>
  <c r="L117" i="1"/>
  <c r="K166" i="1"/>
  <c r="O166" i="1"/>
  <c r="O253" i="1"/>
  <c r="L166" i="1"/>
  <c r="L151" i="1"/>
  <c r="O65" i="1"/>
  <c r="L331" i="1"/>
  <c r="M14" i="1"/>
  <c r="M18" i="1"/>
  <c r="M35" i="1"/>
  <c r="L60" i="1"/>
  <c r="K60" i="1"/>
  <c r="O68" i="1"/>
  <c r="K72" i="1"/>
  <c r="L72" i="1"/>
  <c r="L94" i="1"/>
  <c r="M114" i="1"/>
  <c r="M23" i="1"/>
  <c r="M11" i="1"/>
  <c r="O137" i="1"/>
  <c r="O158" i="1"/>
  <c r="O199" i="1"/>
  <c r="L203" i="1"/>
  <c r="O223" i="1"/>
  <c r="K14" i="1"/>
  <c r="L257" i="1"/>
  <c r="L14" i="1"/>
  <c r="O14" i="1"/>
  <c r="O18" i="1"/>
  <c r="K28" i="1"/>
  <c r="L64" i="1"/>
  <c r="O87" i="1"/>
  <c r="L102" i="1"/>
  <c r="M106" i="1"/>
  <c r="L129" i="1"/>
  <c r="L174" i="1"/>
  <c r="L278" i="1"/>
  <c r="O9" i="1"/>
  <c r="M94" i="1"/>
  <c r="M166" i="1"/>
  <c r="M68" i="1"/>
  <c r="K75" i="1"/>
  <c r="M231" i="1"/>
  <c r="O35" i="1"/>
  <c r="M39" i="1"/>
  <c r="M47" i="1"/>
  <c r="N47" i="1" s="1"/>
  <c r="O60" i="1"/>
  <c r="O72" i="1"/>
  <c r="M76" i="1"/>
  <c r="L98" i="1"/>
  <c r="M118" i="1"/>
  <c r="M151" i="1"/>
  <c r="M174" i="1"/>
  <c r="O278" i="1"/>
  <c r="L107" i="1"/>
  <c r="O107" i="1"/>
  <c r="K107" i="1"/>
  <c r="L35" i="1"/>
  <c r="M223" i="1"/>
  <c r="M181" i="1"/>
  <c r="M222" i="1"/>
  <c r="O201" i="1"/>
  <c r="L18" i="1"/>
  <c r="O230" i="1"/>
  <c r="M43" i="1"/>
  <c r="O47" i="1"/>
  <c r="P47" i="1" s="1"/>
  <c r="Q47" i="1" s="1"/>
  <c r="K54" i="1"/>
  <c r="O54" i="1"/>
  <c r="P54" i="1" s="1"/>
  <c r="Q54" i="1" s="1"/>
  <c r="O57" i="1"/>
  <c r="L76" i="1"/>
  <c r="M80" i="1"/>
  <c r="L91" i="1"/>
  <c r="O110" i="1"/>
  <c r="M126" i="1"/>
  <c r="M138" i="1"/>
  <c r="L163" i="1"/>
  <c r="L171" i="1"/>
  <c r="M212" i="1"/>
  <c r="L70" i="1"/>
  <c r="L108" i="1"/>
  <c r="O83" i="1"/>
  <c r="M257" i="1"/>
  <c r="M12" i="1"/>
  <c r="M165" i="1"/>
  <c r="M32" i="1"/>
  <c r="K16" i="1"/>
  <c r="M30" i="1"/>
  <c r="M61" i="1"/>
  <c r="M331" i="1"/>
  <c r="M125" i="1"/>
  <c r="M37" i="1"/>
  <c r="N37" i="1" s="1"/>
  <c r="M74" i="1"/>
  <c r="N74" i="1" s="1"/>
  <c r="M157" i="1"/>
  <c r="L217" i="1"/>
  <c r="M60" i="1"/>
  <c r="M334" i="1"/>
  <c r="L20" i="1"/>
  <c r="L49" i="1"/>
  <c r="O132" i="1"/>
  <c r="P132" i="1" s="1"/>
  <c r="Q132" i="1" s="1"/>
  <c r="M53" i="1"/>
  <c r="L231" i="1"/>
  <c r="K22" i="1"/>
  <c r="O22" i="1"/>
  <c r="P22" i="1" s="1"/>
  <c r="Q22" i="1" s="1"/>
  <c r="O43" i="1"/>
  <c r="L69" i="1"/>
  <c r="L80" i="1"/>
  <c r="M88" i="1"/>
  <c r="M91" i="1"/>
  <c r="M171" i="1"/>
  <c r="L179" i="1"/>
  <c r="O204" i="1"/>
  <c r="L236" i="1"/>
  <c r="L232" i="1"/>
  <c r="K232" i="1"/>
  <c r="O232" i="1"/>
  <c r="M306" i="1"/>
  <c r="M22" i="1"/>
  <c r="N22" i="1" s="1"/>
  <c r="N54" i="1"/>
  <c r="M107" i="1"/>
  <c r="M115" i="1"/>
  <c r="L130" i="1"/>
  <c r="M143" i="1"/>
  <c r="O163" i="1"/>
  <c r="M93" i="1"/>
  <c r="O15" i="1"/>
  <c r="M55" i="1"/>
  <c r="O103" i="1"/>
  <c r="L186" i="1"/>
  <c r="L7" i="1"/>
  <c r="L13" i="1"/>
  <c r="K7" i="1"/>
  <c r="L326" i="1"/>
  <c r="O291" i="1"/>
  <c r="O324" i="1"/>
  <c r="L305" i="1"/>
  <c r="L324" i="1"/>
  <c r="O248" i="1"/>
  <c r="O271" i="1"/>
  <c r="L316" i="1"/>
  <c r="L11" i="1"/>
  <c r="O159" i="1"/>
  <c r="O168" i="1"/>
  <c r="O155" i="1"/>
  <c r="O267" i="1"/>
  <c r="O326" i="1"/>
  <c r="L190" i="1"/>
  <c r="L200" i="1"/>
  <c r="O11" i="1"/>
  <c r="O23" i="1"/>
  <c r="L193" i="1"/>
  <c r="O48" i="1"/>
  <c r="L271" i="1"/>
  <c r="O190" i="1"/>
  <c r="O170" i="1"/>
  <c r="O123" i="1"/>
  <c r="L23" i="1"/>
  <c r="L170" i="1"/>
  <c r="O50" i="1"/>
  <c r="L123" i="1"/>
  <c r="L159" i="1"/>
  <c r="L50" i="1"/>
  <c r="O226" i="1"/>
  <c r="L291" i="1"/>
  <c r="L160" i="1"/>
  <c r="K11" i="1"/>
  <c r="L168" i="1"/>
  <c r="O305" i="1"/>
  <c r="L285" i="1"/>
  <c r="O151" i="1"/>
  <c r="M33" i="1"/>
  <c r="M132" i="1"/>
  <c r="N132" i="1" s="1"/>
  <c r="M40" i="1"/>
  <c r="M24" i="1"/>
  <c r="M203" i="1"/>
  <c r="M208" i="1"/>
  <c r="K156" i="1"/>
  <c r="O156" i="1"/>
  <c r="P156" i="1" s="1"/>
  <c r="Q156" i="1" s="1"/>
  <c r="M209" i="1"/>
  <c r="L306" i="1"/>
  <c r="M185" i="1"/>
  <c r="M249" i="1"/>
  <c r="L293" i="1"/>
  <c r="M67" i="1"/>
  <c r="M77" i="1"/>
  <c r="O82" i="1"/>
  <c r="L82" i="1"/>
  <c r="L89" i="1"/>
  <c r="O106" i="1"/>
  <c r="L111" i="1"/>
  <c r="O114" i="1"/>
  <c r="L114" i="1"/>
  <c r="O126" i="1"/>
  <c r="M134" i="1"/>
  <c r="M145" i="1"/>
  <c r="M155" i="1"/>
  <c r="O165" i="1"/>
  <c r="M168" i="1"/>
  <c r="K179" i="1"/>
  <c r="O185" i="1"/>
  <c r="M217" i="1"/>
  <c r="O252" i="1"/>
  <c r="K205" i="1"/>
  <c r="O205" i="1"/>
  <c r="L205" i="1"/>
  <c r="O30" i="1"/>
  <c r="K30" i="1"/>
  <c r="O44" i="1"/>
  <c r="K44" i="1"/>
  <c r="K49" i="1"/>
  <c r="O51" i="1"/>
  <c r="K58" i="1"/>
  <c r="L77" i="1"/>
  <c r="K77" i="1"/>
  <c r="K82" i="1"/>
  <c r="M89" i="1"/>
  <c r="O91" i="1"/>
  <c r="O111" i="1"/>
  <c r="K114" i="1"/>
  <c r="O119" i="1"/>
  <c r="M122" i="1"/>
  <c r="N122" i="1" s="1"/>
  <c r="L137" i="1"/>
  <c r="O145" i="1"/>
  <c r="K163" i="1"/>
  <c r="M191" i="1"/>
  <c r="L194" i="1"/>
  <c r="L197" i="1"/>
  <c r="L211" i="1"/>
  <c r="O322" i="1"/>
  <c r="L322" i="1"/>
  <c r="K322" i="1"/>
  <c r="O179" i="1"/>
  <c r="M44" i="1"/>
  <c r="O74" i="1"/>
  <c r="P74" i="1" s="1"/>
  <c r="Q74" i="1" s="1"/>
  <c r="O3" i="1"/>
  <c r="P3" i="1" s="1"/>
  <c r="Q3" i="1" s="1"/>
  <c r="O5" i="1"/>
  <c r="M20" i="1"/>
  <c r="M28" i="1"/>
  <c r="N28" i="1" s="1"/>
  <c r="L30" i="1"/>
  <c r="L44" i="1"/>
  <c r="L67" i="1"/>
  <c r="L87" i="1"/>
  <c r="O96" i="1"/>
  <c r="L96" i="1"/>
  <c r="L101" i="1"/>
  <c r="M104" i="1"/>
  <c r="M117" i="1"/>
  <c r="O122" i="1"/>
  <c r="P122" i="1" s="1"/>
  <c r="Q122" i="1" s="1"/>
  <c r="M137" i="1"/>
  <c r="M160" i="1"/>
  <c r="O174" i="1"/>
  <c r="M179" i="1"/>
  <c r="M197" i="1"/>
  <c r="M211" i="1"/>
  <c r="L214" i="1"/>
  <c r="O239" i="1"/>
  <c r="L239" i="1"/>
  <c r="K239" i="1"/>
  <c r="K260" i="1"/>
  <c r="O260" i="1"/>
  <c r="P260" i="1" s="1"/>
  <c r="Q260" i="1" s="1"/>
  <c r="M278" i="1"/>
  <c r="L297" i="1"/>
  <c r="M189" i="1"/>
  <c r="L63" i="1"/>
  <c r="L115" i="1"/>
  <c r="K115" i="1"/>
  <c r="O257" i="1"/>
  <c r="M303" i="1"/>
  <c r="O228" i="1"/>
  <c r="K8" i="1"/>
  <c r="K10" i="1"/>
  <c r="L12" i="1"/>
  <c r="L38" i="1"/>
  <c r="K45" i="1"/>
  <c r="M50" i="1"/>
  <c r="M63" i="1"/>
  <c r="M73" i="1"/>
  <c r="K102" i="1"/>
  <c r="M112" i="1"/>
  <c r="K130" i="1"/>
  <c r="O172" i="1"/>
  <c r="M201" i="1"/>
  <c r="M204" i="1"/>
  <c r="M221" i="1"/>
  <c r="L224" i="1"/>
  <c r="L247" i="1"/>
  <c r="O247" i="1"/>
  <c r="M254" i="1"/>
  <c r="K303" i="1"/>
  <c r="O303" i="1"/>
  <c r="O331" i="1"/>
  <c r="M275" i="1"/>
  <c r="O298" i="1"/>
  <c r="L298" i="1"/>
  <c r="O250" i="1"/>
  <c r="O309" i="1"/>
  <c r="O67" i="1"/>
  <c r="L4" i="1"/>
  <c r="K4" i="1"/>
  <c r="O13" i="1"/>
  <c r="O197" i="1"/>
  <c r="K12" i="1"/>
  <c r="M172" i="1"/>
  <c r="L183" i="1"/>
  <c r="K198" i="1"/>
  <c r="O198" i="1"/>
  <c r="L198" i="1"/>
  <c r="K218" i="1"/>
  <c r="O218" i="1"/>
  <c r="L218" i="1"/>
  <c r="L6" i="1"/>
  <c r="L45" i="1"/>
  <c r="L78" i="1"/>
  <c r="O105" i="1"/>
  <c r="O115" i="1"/>
  <c r="L149" i="1"/>
  <c r="O154" i="1"/>
  <c r="K154" i="1"/>
  <c r="O189" i="1"/>
  <c r="M215" i="1"/>
  <c r="M241" i="1"/>
  <c r="O2" i="1"/>
  <c r="O4" i="1"/>
  <c r="M8" i="1"/>
  <c r="M10" i="1"/>
  <c r="L29" i="1"/>
  <c r="O29" i="1"/>
  <c r="M36" i="1"/>
  <c r="O38" i="1"/>
  <c r="K43" i="1"/>
  <c r="L59" i="1"/>
  <c r="O63" i="1"/>
  <c r="M78" i="1"/>
  <c r="L88" i="1"/>
  <c r="O88" i="1"/>
  <c r="M102" i="1"/>
  <c r="K105" i="1"/>
  <c r="L110" i="1"/>
  <c r="O112" i="1"/>
  <c r="O125" i="1"/>
  <c r="M133" i="1"/>
  <c r="M141" i="1"/>
  <c r="M144" i="1"/>
  <c r="M149" i="1"/>
  <c r="L154" i="1"/>
  <c r="O161" i="1"/>
  <c r="M167" i="1"/>
  <c r="L178" i="1"/>
  <c r="M192" i="1"/>
  <c r="K204" i="1"/>
  <c r="L207" i="1"/>
  <c r="M227" i="1"/>
  <c r="M247" i="1"/>
  <c r="M195" i="1"/>
  <c r="M31" i="1"/>
  <c r="O212" i="1"/>
  <c r="L212" i="1"/>
  <c r="O268" i="1"/>
  <c r="L296" i="1"/>
  <c r="O277" i="1"/>
  <c r="O275" i="1"/>
  <c r="O109" i="1"/>
  <c r="L277" i="1"/>
  <c r="L292" i="1"/>
  <c r="O297" i="1"/>
  <c r="O229" i="1"/>
  <c r="O211" i="1"/>
  <c r="L109" i="1"/>
  <c r="O295" i="1"/>
  <c r="O259" i="1"/>
  <c r="O292" i="1"/>
  <c r="L270" i="1"/>
  <c r="L146" i="1"/>
  <c r="O127" i="1"/>
  <c r="O329" i="1"/>
  <c r="O272" i="1"/>
  <c r="O192" i="1"/>
  <c r="L272" i="1"/>
  <c r="L192" i="1"/>
  <c r="L201" i="1"/>
  <c r="O270" i="1"/>
  <c r="M135" i="1"/>
  <c r="L161" i="1"/>
  <c r="O186" i="1"/>
  <c r="O209" i="1"/>
  <c r="L221" i="1"/>
  <c r="M57" i="1"/>
  <c r="O36" i="1"/>
  <c r="L36" i="1"/>
  <c r="L43" i="1"/>
  <c r="O55" i="1"/>
  <c r="O61" i="1"/>
  <c r="L66" i="1"/>
  <c r="L81" i="1"/>
  <c r="K81" i="1"/>
  <c r="L167" i="1"/>
  <c r="K167" i="1"/>
  <c r="O167" i="1"/>
  <c r="O181" i="1"/>
  <c r="K266" i="1"/>
  <c r="O266" i="1"/>
  <c r="O284" i="1"/>
  <c r="O6" i="1"/>
  <c r="O10" i="1"/>
  <c r="M48" i="1"/>
  <c r="L57" i="1"/>
  <c r="O71" i="1"/>
  <c r="L71" i="1"/>
  <c r="O97" i="1"/>
  <c r="O100" i="1"/>
  <c r="M123" i="1"/>
  <c r="M159" i="1"/>
  <c r="O178" i="1"/>
  <c r="K181" i="1"/>
  <c r="K184" i="1"/>
  <c r="L184" i="1"/>
  <c r="K199" i="1"/>
  <c r="O234" i="1"/>
  <c r="L234" i="1"/>
  <c r="K234" i="1"/>
  <c r="M238" i="1"/>
  <c r="L262" i="1"/>
  <c r="L266" i="1"/>
  <c r="K284" i="1"/>
  <c r="O316" i="1"/>
  <c r="L120" i="1"/>
  <c r="M38" i="1"/>
  <c r="M120" i="1"/>
  <c r="M230" i="1"/>
  <c r="L2" i="1"/>
  <c r="L10" i="1"/>
  <c r="L175" i="1"/>
  <c r="K175" i="1"/>
  <c r="O175" i="1"/>
  <c r="O12" i="1"/>
  <c r="M251" i="1"/>
  <c r="M188" i="1"/>
  <c r="M308" i="1"/>
  <c r="M86" i="1"/>
  <c r="O90" i="1"/>
  <c r="L105" i="1"/>
  <c r="M110" i="1"/>
  <c r="L133" i="1"/>
  <c r="M136" i="1"/>
  <c r="O141" i="1"/>
  <c r="L141" i="1"/>
  <c r="K141" i="1"/>
  <c r="M154" i="1"/>
  <c r="M184" i="1"/>
  <c r="L204" i="1"/>
  <c r="L210" i="1"/>
  <c r="M272" i="1"/>
  <c r="L320" i="1"/>
  <c r="O8" i="1"/>
  <c r="M333" i="1"/>
  <c r="M300" i="1"/>
  <c r="M246" i="1"/>
  <c r="M253" i="1"/>
  <c r="M273" i="1"/>
  <c r="M286" i="1"/>
  <c r="M261" i="1"/>
  <c r="M99" i="1"/>
  <c r="M268" i="1"/>
  <c r="M311" i="1"/>
  <c r="M290" i="1"/>
  <c r="M29" i="1"/>
  <c r="K36" i="1"/>
  <c r="K41" i="1"/>
  <c r="K55" i="1"/>
  <c r="O59" i="1"/>
  <c r="K66" i="1"/>
  <c r="O78" i="1"/>
  <c r="O86" i="1"/>
  <c r="M105" i="1"/>
  <c r="K133" i="1"/>
  <c r="L147" i="1"/>
  <c r="O149" i="1"/>
  <c r="O207" i="1"/>
  <c r="M17" i="1"/>
  <c r="L19" i="1"/>
  <c r="K19" i="1"/>
  <c r="L21" i="1"/>
  <c r="O333" i="1"/>
  <c r="O300" i="1"/>
  <c r="L273" i="1"/>
  <c r="L150" i="1"/>
  <c r="L256" i="1"/>
  <c r="O289" i="1"/>
  <c r="L258" i="1"/>
  <c r="O150" i="1"/>
  <c r="O286" i="1"/>
  <c r="O157" i="1"/>
  <c r="O273" i="1"/>
  <c r="L90" i="1"/>
  <c r="L311" i="1"/>
  <c r="L290" i="1"/>
  <c r="L125" i="1"/>
  <c r="O99" i="1"/>
  <c r="L261" i="1"/>
  <c r="L230" i="1"/>
  <c r="O136" i="1"/>
  <c r="L136" i="1"/>
  <c r="O311" i="1"/>
  <c r="O290" i="1"/>
  <c r="L268" i="1"/>
  <c r="L41" i="1"/>
  <c r="L48" i="1"/>
  <c r="L55" i="1"/>
  <c r="K71" i="1"/>
  <c r="O81" i="1"/>
  <c r="M84" i="1"/>
  <c r="K86" i="1"/>
  <c r="M95" i="1"/>
  <c r="K100" i="1"/>
  <c r="M108" i="1"/>
  <c r="L121" i="1"/>
  <c r="M128" i="1"/>
  <c r="N128" i="1" s="1"/>
  <c r="O133" i="1"/>
  <c r="K147" i="1"/>
  <c r="K152" i="1"/>
  <c r="O152" i="1"/>
  <c r="M162" i="1"/>
  <c r="M176" i="1"/>
  <c r="L181" i="1"/>
  <c r="L199" i="1"/>
  <c r="O210" i="1"/>
  <c r="O219" i="1"/>
  <c r="M262" i="1"/>
  <c r="M266" i="1"/>
  <c r="L284" i="1"/>
  <c r="M288" i="1"/>
  <c r="M312" i="1"/>
  <c r="O117" i="1"/>
  <c r="M332" i="1"/>
  <c r="M252" i="1"/>
  <c r="M310" i="1"/>
  <c r="M299" i="1"/>
  <c r="M81" i="1"/>
  <c r="M153" i="1"/>
  <c r="M269" i="1"/>
  <c r="M320" i="1"/>
  <c r="M242" i="1"/>
  <c r="M182" i="1"/>
  <c r="M280" i="1"/>
  <c r="M97" i="1"/>
  <c r="M210" i="1"/>
  <c r="M148" i="1"/>
  <c r="M2" i="1"/>
  <c r="M232" i="1"/>
  <c r="M206" i="1"/>
  <c r="M183" i="1"/>
  <c r="M228" i="1"/>
  <c r="L99" i="1"/>
  <c r="M19" i="1"/>
  <c r="O34" i="1"/>
  <c r="L34" i="1"/>
  <c r="M41" i="1"/>
  <c r="M64" i="1"/>
  <c r="O66" i="1"/>
  <c r="M69" i="1"/>
  <c r="O84" i="1"/>
  <c r="L86" i="1"/>
  <c r="L100" i="1"/>
  <c r="M121" i="1"/>
  <c r="M147" i="1"/>
  <c r="L157" i="1"/>
  <c r="O162" i="1"/>
  <c r="K162" i="1"/>
  <c r="O173" i="1"/>
  <c r="O176" i="1"/>
  <c r="O184" i="1"/>
  <c r="O187" i="1"/>
  <c r="M199" i="1"/>
  <c r="O213" i="1"/>
  <c r="L219" i="1"/>
  <c r="L238" i="1"/>
  <c r="L255" i="1"/>
  <c r="O255" i="1"/>
  <c r="K255" i="1"/>
  <c r="O269" i="1"/>
  <c r="O312" i="1"/>
  <c r="K312" i="1"/>
  <c r="L312" i="1"/>
  <c r="O183" i="1"/>
  <c r="O221" i="1"/>
  <c r="O130" i="1"/>
  <c r="O73" i="1"/>
  <c r="K73" i="1"/>
  <c r="M15" i="1"/>
  <c r="M103" i="1"/>
  <c r="L39" i="1"/>
  <c r="M46" i="1"/>
  <c r="N46" i="1" s="1"/>
  <c r="L51" i="1"/>
  <c r="K64" i="1"/>
  <c r="M79" i="1"/>
  <c r="L84" i="1"/>
  <c r="K91" i="1"/>
  <c r="L103" i="1"/>
  <c r="L116" i="1"/>
  <c r="O121" i="1"/>
  <c r="L126" i="1"/>
  <c r="L139" i="1"/>
  <c r="O147" i="1"/>
  <c r="L173" i="1"/>
  <c r="L176" i="1"/>
  <c r="L228" i="1"/>
  <c r="M235" i="1"/>
  <c r="O238" i="1"/>
  <c r="L259" i="1"/>
  <c r="O281" i="1"/>
  <c r="L281" i="1"/>
  <c r="O325" i="1"/>
  <c r="K325" i="1"/>
  <c r="L325" i="1"/>
  <c r="L135" i="1"/>
  <c r="O135" i="1"/>
  <c r="O143" i="1"/>
  <c r="L143" i="1"/>
  <c r="M140" i="1"/>
  <c r="M297" i="1"/>
  <c r="M245" i="1"/>
  <c r="M301" i="1"/>
  <c r="M295" i="1"/>
  <c r="M259" i="1"/>
  <c r="M292" i="1"/>
  <c r="M270" i="1"/>
  <c r="L68" i="1"/>
  <c r="K68" i="1"/>
  <c r="O92" i="1"/>
  <c r="P92" i="1" s="1"/>
  <c r="Q92" i="1" s="1"/>
  <c r="K92" i="1"/>
  <c r="K120" i="1"/>
  <c r="K143" i="1"/>
  <c r="O102" i="1"/>
  <c r="L112" i="1"/>
  <c r="M291" i="1"/>
  <c r="L17" i="1"/>
  <c r="M240" i="1"/>
  <c r="M328" i="1"/>
  <c r="M173" i="1"/>
  <c r="M265" i="1"/>
  <c r="M260" i="1"/>
  <c r="N260" i="1" s="1"/>
  <c r="M180" i="1"/>
  <c r="M313" i="1"/>
  <c r="M163" i="1"/>
  <c r="M322" i="1"/>
  <c r="M129" i="1"/>
  <c r="L25" i="1"/>
  <c r="M27" i="1"/>
  <c r="K34" i="1"/>
  <c r="K69" i="1"/>
  <c r="O69" i="1"/>
  <c r="O76" i="1"/>
  <c r="L93" i="1"/>
  <c r="O95" i="1"/>
  <c r="M100" i="1"/>
  <c r="O108" i="1"/>
  <c r="K113" i="1"/>
  <c r="O113" i="1"/>
  <c r="L113" i="1"/>
  <c r="O128" i="1"/>
  <c r="P128" i="1" s="1"/>
  <c r="Q128" i="1" s="1"/>
  <c r="M131" i="1"/>
  <c r="M152" i="1"/>
  <c r="O202" i="1"/>
  <c r="M219" i="1"/>
  <c r="O222" i="1"/>
  <c r="K222" i="1"/>
  <c r="L222" i="1"/>
  <c r="M325" i="1"/>
  <c r="M329" i="1"/>
  <c r="O315" i="1"/>
  <c r="L288" i="1"/>
  <c r="L328" i="1"/>
  <c r="O191" i="1"/>
  <c r="L313" i="1"/>
  <c r="O231" i="1"/>
  <c r="O217" i="1"/>
  <c r="O215" i="1"/>
  <c r="O237" i="1"/>
  <c r="O129" i="1"/>
  <c r="L237" i="1"/>
  <c r="O313" i="1"/>
  <c r="L191" i="1"/>
  <c r="O288" i="1"/>
  <c r="O240" i="1"/>
  <c r="L240" i="1"/>
  <c r="L265" i="1"/>
  <c r="M13" i="1"/>
  <c r="O19" i="1"/>
  <c r="O21" i="1"/>
  <c r="M25" i="1"/>
  <c r="K3" i="1"/>
  <c r="M220" i="1"/>
  <c r="N220" i="1" s="1"/>
  <c r="M326" i="1"/>
  <c r="M248" i="1"/>
  <c r="M282" i="1"/>
  <c r="M234" i="1"/>
  <c r="M271" i="1"/>
  <c r="M193" i="1"/>
  <c r="M190" i="1"/>
  <c r="M267" i="1"/>
  <c r="L15" i="1"/>
  <c r="O17" i="1"/>
  <c r="O32" i="1"/>
  <c r="L32" i="1"/>
  <c r="O46" i="1"/>
  <c r="P46" i="1" s="1"/>
  <c r="Q46" i="1" s="1"/>
  <c r="K46" i="1"/>
  <c r="O62" i="1"/>
  <c r="K79" i="1"/>
  <c r="O79" i="1"/>
  <c r="L79" i="1"/>
  <c r="K98" i="1"/>
  <c r="O98" i="1"/>
  <c r="K103" i="1"/>
  <c r="L106" i="1"/>
  <c r="M124" i="1"/>
  <c r="M150" i="1"/>
  <c r="L202" i="1"/>
  <c r="L235" i="1"/>
  <c r="O235" i="1"/>
  <c r="K235" i="1"/>
  <c r="K285" i="1"/>
  <c r="O285" i="1"/>
  <c r="M276" i="1"/>
  <c r="O293" i="1"/>
  <c r="M315" i="1"/>
  <c r="M233" i="1"/>
  <c r="L249" i="1"/>
  <c r="O193" i="1"/>
  <c r="M213" i="1"/>
  <c r="K193" i="1"/>
  <c r="L213" i="1"/>
  <c r="M305" i="1"/>
  <c r="L242" i="1"/>
  <c r="O323" i="1"/>
  <c r="L119" i="1"/>
  <c r="L323" i="1"/>
  <c r="L299" i="1"/>
  <c r="O320" i="1"/>
  <c r="K2" i="1"/>
  <c r="O280" i="1"/>
  <c r="M202" i="1"/>
  <c r="L42" i="1"/>
  <c r="M113" i="1"/>
  <c r="K118" i="1"/>
  <c r="L118" i="1"/>
  <c r="L148" i="1"/>
  <c r="O148" i="1"/>
  <c r="L182" i="1"/>
  <c r="L195" i="1"/>
  <c r="M205" i="1"/>
  <c r="M264" i="1"/>
  <c r="O299" i="1"/>
  <c r="O314" i="1"/>
  <c r="L314" i="1"/>
  <c r="M318" i="1"/>
  <c r="O332" i="1"/>
  <c r="M293" i="1"/>
  <c r="M116" i="1"/>
  <c r="O134" i="1"/>
  <c r="M146" i="1"/>
  <c r="L172" i="1"/>
  <c r="L185" i="1"/>
  <c r="M236" i="1"/>
  <c r="L104" i="1"/>
  <c r="O42" i="1"/>
  <c r="L65" i="1"/>
  <c r="L95" i="1"/>
  <c r="L97" i="1"/>
  <c r="M111" i="1"/>
  <c r="O118" i="1"/>
  <c r="K134" i="1"/>
  <c r="M139" i="1"/>
  <c r="L153" i="1"/>
  <c r="O160" i="1"/>
  <c r="O195" i="1"/>
  <c r="K293" i="1"/>
  <c r="M59" i="1"/>
  <c r="L61" i="1"/>
  <c r="M109" i="1"/>
  <c r="M175" i="1"/>
  <c r="M198" i="1"/>
  <c r="K220" i="1"/>
  <c r="O220" i="1"/>
  <c r="P220" i="1" s="1"/>
  <c r="Q220" i="1" s="1"/>
  <c r="O245" i="1"/>
  <c r="L245" i="1"/>
  <c r="K245" i="1"/>
  <c r="M255" i="1"/>
  <c r="O301" i="1"/>
  <c r="K301" i="1"/>
  <c r="M304" i="1"/>
  <c r="L301" i="1"/>
  <c r="O304" i="1"/>
  <c r="L304" i="1"/>
  <c r="K304" i="1"/>
  <c r="M317" i="1"/>
  <c r="O262" i="1"/>
  <c r="M243" i="1"/>
  <c r="K262" i="1"/>
  <c r="K265" i="1"/>
  <c r="O265" i="1"/>
  <c r="M314" i="1"/>
  <c r="M319" i="1"/>
  <c r="K146" i="1"/>
  <c r="O146" i="1"/>
  <c r="K200" i="1"/>
  <c r="O200" i="1"/>
  <c r="M207" i="1"/>
  <c r="L209" i="1"/>
  <c r="M229" i="1"/>
  <c r="M239" i="1"/>
  <c r="L252" i="1"/>
  <c r="M258" i="1"/>
  <c r="O276" i="1"/>
  <c r="K332" i="1"/>
  <c r="L332" i="1"/>
  <c r="L189" i="1"/>
  <c r="O216" i="1"/>
  <c r="M256" i="1"/>
  <c r="M289" i="1"/>
  <c r="L307" i="1"/>
  <c r="O101" i="1"/>
  <c r="M164" i="1"/>
  <c r="L180" i="1"/>
  <c r="L187" i="1"/>
  <c r="M196" i="1"/>
  <c r="K216" i="1"/>
  <c r="M237" i="1"/>
  <c r="L250" i="1"/>
  <c r="O256" i="1"/>
  <c r="M274" i="1"/>
  <c r="M277" i="1"/>
  <c r="M283" i="1"/>
  <c r="K307" i="1"/>
  <c r="M142" i="1"/>
  <c r="M294" i="1"/>
  <c r="M250" i="1"/>
  <c r="M302" i="1"/>
  <c r="M307" i="1"/>
  <c r="M287" i="1"/>
  <c r="M225" i="1"/>
  <c r="L83" i="1"/>
  <c r="K101" i="1"/>
  <c r="O142" i="1"/>
  <c r="L142" i="1"/>
  <c r="M178" i="1"/>
  <c r="K187" i="1"/>
  <c r="O196" i="1"/>
  <c r="L196" i="1"/>
  <c r="O214" i="1"/>
  <c r="L216" i="1"/>
  <c r="L253" i="1"/>
  <c r="K253" i="1"/>
  <c r="L280" i="1"/>
  <c r="O283" i="1"/>
  <c r="L283" i="1"/>
  <c r="L295" i="1"/>
  <c r="O307" i="1"/>
  <c r="O319" i="1"/>
  <c r="L319" i="1"/>
  <c r="K319" i="1"/>
  <c r="M281" i="1"/>
  <c r="L329" i="1"/>
  <c r="O194" i="1"/>
  <c r="L227" i="1"/>
  <c r="M263" i="1"/>
  <c r="L289" i="1"/>
  <c r="L318" i="1"/>
  <c r="K318" i="1"/>
  <c r="M321" i="1"/>
  <c r="O144" i="1"/>
  <c r="L144" i="1"/>
  <c r="K194" i="1"/>
  <c r="L215" i="1"/>
  <c r="K219" i="1"/>
  <c r="K221" i="1"/>
  <c r="K227" i="1"/>
  <c r="L248" i="1"/>
  <c r="O321" i="1"/>
  <c r="L321" i="1"/>
  <c r="M279" i="1"/>
  <c r="O282" i="1"/>
  <c r="L287" i="1"/>
  <c r="O310" i="1"/>
  <c r="K310" i="1"/>
  <c r="M327" i="1"/>
  <c r="K258" i="1"/>
  <c r="O258" i="1"/>
  <c r="O274" i="1"/>
  <c r="L274" i="1"/>
  <c r="O279" i="1"/>
  <c r="L279" i="1"/>
  <c r="K279" i="1"/>
  <c r="K282" i="1"/>
  <c r="K287" i="1"/>
  <c r="L310" i="1"/>
  <c r="L327" i="1"/>
  <c r="O261" i="1"/>
  <c r="L282" i="1"/>
  <c r="M330" i="1"/>
  <c r="K138" i="1"/>
  <c r="O138" i="1"/>
  <c r="L155" i="1"/>
  <c r="O182" i="1"/>
  <c r="K261" i="1"/>
  <c r="O287" i="1"/>
  <c r="O308" i="1"/>
  <c r="L308" i="1"/>
  <c r="M316" i="1"/>
  <c r="O327" i="1"/>
  <c r="K330" i="1"/>
  <c r="O330" i="1"/>
  <c r="L330" i="1"/>
  <c r="M323" i="1"/>
  <c r="M156" i="1"/>
  <c r="N156" i="1" s="1"/>
  <c r="O254" i="1"/>
  <c r="L254" i="1"/>
  <c r="L275" i="1"/>
  <c r="O302" i="1"/>
  <c r="O328" i="1"/>
  <c r="M244" i="1"/>
  <c r="M296" i="1"/>
  <c r="M298" i="1"/>
  <c r="O306" i="1"/>
  <c r="M96" i="1"/>
  <c r="L127" i="1"/>
  <c r="M216" i="1"/>
  <c r="M218" i="1"/>
  <c r="M224" i="1"/>
  <c r="O236" i="1"/>
  <c r="O242" i="1"/>
  <c r="L246" i="1"/>
  <c r="K250" i="1"/>
  <c r="K252" i="1"/>
  <c r="O296" i="1"/>
  <c r="L300" i="1"/>
  <c r="L302" i="1"/>
  <c r="L315" i="1"/>
  <c r="L267" i="1"/>
  <c r="L269" i="1"/>
  <c r="L333" i="1"/>
  <c r="K267" i="1"/>
  <c r="O294" i="1"/>
  <c r="L294" i="1"/>
  <c r="M324" i="1"/>
  <c r="M284" i="1"/>
  <c r="L286" i="1"/>
  <c r="L309" i="1"/>
  <c r="K329" i="1"/>
  <c r="N56" i="1" l="1"/>
  <c r="P56" i="1"/>
  <c r="Q56" i="1" s="1"/>
  <c r="N226" i="1"/>
  <c r="P226" i="1"/>
  <c r="Q226" i="1" s="1"/>
  <c r="N165" i="1"/>
  <c r="P165" i="1"/>
  <c r="Q165" i="1" s="1"/>
  <c r="N195" i="1"/>
  <c r="P195" i="1"/>
  <c r="Q195" i="1" s="1"/>
  <c r="N259" i="1"/>
  <c r="P259" i="1"/>
  <c r="Q259" i="1" s="1"/>
  <c r="P258" i="1"/>
  <c r="Q258" i="1" s="1"/>
  <c r="N258" i="1"/>
  <c r="P36" i="1"/>
  <c r="Q36" i="1" s="1"/>
  <c r="N36" i="1"/>
  <c r="P7" i="1"/>
  <c r="Q7" i="1" s="1"/>
  <c r="N7" i="1"/>
  <c r="P163" i="1"/>
  <c r="Q163" i="1" s="1"/>
  <c r="N163" i="1"/>
  <c r="P164" i="1"/>
  <c r="Q164" i="1" s="1"/>
  <c r="N164" i="1"/>
  <c r="N233" i="1"/>
  <c r="P233" i="1"/>
  <c r="Q233" i="1" s="1"/>
  <c r="N196" i="1"/>
  <c r="P196" i="1"/>
  <c r="Q196" i="1" s="1"/>
  <c r="P209" i="1"/>
  <c r="Q209" i="1" s="1"/>
  <c r="N209" i="1"/>
  <c r="P97" i="1"/>
  <c r="Q97" i="1" s="1"/>
  <c r="N97" i="1"/>
  <c r="P182" i="1"/>
  <c r="Q182" i="1" s="1"/>
  <c r="N182" i="1"/>
  <c r="N55" i="1"/>
  <c r="P55" i="1"/>
  <c r="Q55" i="1" s="1"/>
  <c r="P71" i="1"/>
  <c r="Q71" i="1" s="1"/>
  <c r="N71" i="1"/>
  <c r="N109" i="1"/>
  <c r="P109" i="1"/>
  <c r="Q109" i="1" s="1"/>
  <c r="P178" i="1"/>
  <c r="Q178" i="1" s="1"/>
  <c r="N178" i="1"/>
  <c r="P211" i="1"/>
  <c r="Q211" i="1" s="1"/>
  <c r="N211" i="1"/>
  <c r="N89" i="1"/>
  <c r="P89" i="1"/>
  <c r="Q89" i="1" s="1"/>
  <c r="P285" i="1"/>
  <c r="Q285" i="1" s="1"/>
  <c r="N285" i="1"/>
  <c r="N186" i="1"/>
  <c r="P186" i="1"/>
  <c r="Q186" i="1" s="1"/>
  <c r="P303" i="1"/>
  <c r="Q303" i="1" s="1"/>
  <c r="N303" i="1"/>
  <c r="P250" i="1"/>
  <c r="Q250" i="1" s="1"/>
  <c r="N250" i="1"/>
  <c r="P309" i="1"/>
  <c r="Q309" i="1" s="1"/>
  <c r="N309" i="1"/>
  <c r="P95" i="1"/>
  <c r="Q95" i="1" s="1"/>
  <c r="N95" i="1"/>
  <c r="P249" i="1"/>
  <c r="Q249" i="1" s="1"/>
  <c r="N249" i="1"/>
  <c r="N48" i="1"/>
  <c r="P48" i="1"/>
  <c r="Q48" i="1" s="1"/>
  <c r="P256" i="1"/>
  <c r="Q256" i="1" s="1"/>
  <c r="N256" i="1"/>
  <c r="P198" i="1"/>
  <c r="Q198" i="1" s="1"/>
  <c r="N198" i="1"/>
  <c r="P197" i="1"/>
  <c r="Q197" i="1" s="1"/>
  <c r="N197" i="1"/>
  <c r="P82" i="1"/>
  <c r="Q82" i="1" s="1"/>
  <c r="N82" i="1"/>
  <c r="P200" i="1"/>
  <c r="Q200" i="1" s="1"/>
  <c r="N200" i="1"/>
  <c r="N236" i="1"/>
  <c r="P236" i="1"/>
  <c r="Q236" i="1" s="1"/>
  <c r="P217" i="1"/>
  <c r="Q217" i="1" s="1"/>
  <c r="N217" i="1"/>
  <c r="N278" i="1"/>
  <c r="P278" i="1"/>
  <c r="Q278" i="1" s="1"/>
  <c r="P308" i="1"/>
  <c r="Q308" i="1" s="1"/>
  <c r="N308" i="1"/>
  <c r="P318" i="1"/>
  <c r="Q318" i="1" s="1"/>
  <c r="N318" i="1"/>
  <c r="P222" i="1"/>
  <c r="Q222" i="1" s="1"/>
  <c r="N222" i="1"/>
  <c r="N25" i="1"/>
  <c r="P25" i="1"/>
  <c r="Q25" i="1" s="1"/>
  <c r="P68" i="1"/>
  <c r="Q68" i="1" s="1"/>
  <c r="N68" i="1"/>
  <c r="P286" i="1"/>
  <c r="Q286" i="1" s="1"/>
  <c r="N286" i="1"/>
  <c r="P289" i="1"/>
  <c r="Q289" i="1" s="1"/>
  <c r="N289" i="1"/>
  <c r="P65" i="1"/>
  <c r="Q65" i="1" s="1"/>
  <c r="N65" i="1"/>
  <c r="N148" i="1"/>
  <c r="P148" i="1"/>
  <c r="Q148" i="1" s="1"/>
  <c r="P265" i="1"/>
  <c r="Q265" i="1" s="1"/>
  <c r="N265" i="1"/>
  <c r="N228" i="1"/>
  <c r="P228" i="1"/>
  <c r="Q228" i="1" s="1"/>
  <c r="P157" i="1"/>
  <c r="Q157" i="1" s="1"/>
  <c r="N157" i="1"/>
  <c r="P41" i="1"/>
  <c r="Q41" i="1" s="1"/>
  <c r="N41" i="1"/>
  <c r="P150" i="1"/>
  <c r="Q150" i="1" s="1"/>
  <c r="N150" i="1"/>
  <c r="P141" i="1"/>
  <c r="Q141" i="1" s="1"/>
  <c r="N141" i="1"/>
  <c r="P120" i="1"/>
  <c r="Q120" i="1" s="1"/>
  <c r="N120" i="1"/>
  <c r="N57" i="1"/>
  <c r="P57" i="1"/>
  <c r="Q57" i="1" s="1"/>
  <c r="P221" i="1"/>
  <c r="Q221" i="1" s="1"/>
  <c r="N221" i="1"/>
  <c r="P29" i="1"/>
  <c r="Q29" i="1" s="1"/>
  <c r="N29" i="1"/>
  <c r="N247" i="1"/>
  <c r="P247" i="1"/>
  <c r="Q247" i="1" s="1"/>
  <c r="P194" i="1"/>
  <c r="Q194" i="1" s="1"/>
  <c r="N194" i="1"/>
  <c r="P168" i="1"/>
  <c r="Q168" i="1" s="1"/>
  <c r="N168" i="1"/>
  <c r="N190" i="1"/>
  <c r="P190" i="1"/>
  <c r="Q190" i="1" s="1"/>
  <c r="N174" i="1"/>
  <c r="P174" i="1"/>
  <c r="Q174" i="1" s="1"/>
  <c r="N94" i="1"/>
  <c r="P94" i="1"/>
  <c r="Q94" i="1" s="1"/>
  <c r="P24" i="1"/>
  <c r="Q24" i="1" s="1"/>
  <c r="N24" i="1"/>
  <c r="P241" i="1"/>
  <c r="Q241" i="1" s="1"/>
  <c r="N241" i="1"/>
  <c r="P134" i="1"/>
  <c r="Q134" i="1" s="1"/>
  <c r="N134" i="1"/>
  <c r="N5" i="1"/>
  <c r="P5" i="1"/>
  <c r="Q5" i="1" s="1"/>
  <c r="N127" i="1"/>
  <c r="P127" i="1"/>
  <c r="Q127" i="1" s="1"/>
  <c r="P245" i="1"/>
  <c r="Q245" i="1" s="1"/>
  <c r="N245" i="1"/>
  <c r="P118" i="1"/>
  <c r="Q118" i="1" s="1"/>
  <c r="N118" i="1"/>
  <c r="N240" i="1"/>
  <c r="P240" i="1"/>
  <c r="Q240" i="1" s="1"/>
  <c r="N176" i="1"/>
  <c r="P176" i="1"/>
  <c r="Q176" i="1" s="1"/>
  <c r="P199" i="1"/>
  <c r="Q199" i="1" s="1"/>
  <c r="N199" i="1"/>
  <c r="N268" i="1"/>
  <c r="P268" i="1"/>
  <c r="Q268" i="1" s="1"/>
  <c r="N273" i="1"/>
  <c r="P273" i="1"/>
  <c r="Q273" i="1" s="1"/>
  <c r="P154" i="1"/>
  <c r="Q154" i="1" s="1"/>
  <c r="N154" i="1"/>
  <c r="P224" i="1"/>
  <c r="Q224" i="1" s="1"/>
  <c r="N224" i="1"/>
  <c r="N115" i="1"/>
  <c r="P115" i="1"/>
  <c r="Q115" i="1" s="1"/>
  <c r="N101" i="1"/>
  <c r="P101" i="1"/>
  <c r="Q101" i="1" s="1"/>
  <c r="P205" i="1"/>
  <c r="Q205" i="1" s="1"/>
  <c r="N205" i="1"/>
  <c r="P179" i="1"/>
  <c r="Q179" i="1" s="1"/>
  <c r="N179" i="1"/>
  <c r="P91" i="1"/>
  <c r="Q91" i="1" s="1"/>
  <c r="N91" i="1"/>
  <c r="P107" i="1"/>
  <c r="Q107" i="1" s="1"/>
  <c r="N107" i="1"/>
  <c r="P129" i="1"/>
  <c r="Q129" i="1" s="1"/>
  <c r="N129" i="1"/>
  <c r="P72" i="1"/>
  <c r="Q72" i="1" s="1"/>
  <c r="N72" i="1"/>
  <c r="P208" i="1"/>
  <c r="Q208" i="1" s="1"/>
  <c r="N208" i="1"/>
  <c r="N173" i="1"/>
  <c r="P173" i="1"/>
  <c r="Q173" i="1" s="1"/>
  <c r="P181" i="1"/>
  <c r="Q181" i="1" s="1"/>
  <c r="N181" i="1"/>
  <c r="N292" i="1"/>
  <c r="P292" i="1"/>
  <c r="Q292" i="1" s="1"/>
  <c r="P183" i="1"/>
  <c r="Q183" i="1" s="1"/>
  <c r="N183" i="1"/>
  <c r="N63" i="1"/>
  <c r="P63" i="1"/>
  <c r="Q63" i="1" s="1"/>
  <c r="P96" i="1"/>
  <c r="Q96" i="1" s="1"/>
  <c r="N96" i="1"/>
  <c r="N160" i="1"/>
  <c r="P160" i="1"/>
  <c r="Q160" i="1" s="1"/>
  <c r="P177" i="1"/>
  <c r="Q177" i="1" s="1"/>
  <c r="N177" i="1"/>
  <c r="P264" i="1"/>
  <c r="Q264" i="1" s="1"/>
  <c r="N264" i="1"/>
  <c r="P8" i="1"/>
  <c r="Q8" i="1" s="1"/>
  <c r="N8" i="1"/>
  <c r="N142" i="1"/>
  <c r="P142" i="1"/>
  <c r="Q142" i="1" s="1"/>
  <c r="P32" i="1"/>
  <c r="Q32" i="1" s="1"/>
  <c r="N32" i="1"/>
  <c r="N312" i="1"/>
  <c r="P312" i="1"/>
  <c r="Q312" i="1" s="1"/>
  <c r="N100" i="1"/>
  <c r="P100" i="1"/>
  <c r="Q100" i="1" s="1"/>
  <c r="N133" i="1"/>
  <c r="P133" i="1"/>
  <c r="Q133" i="1" s="1"/>
  <c r="P266" i="1"/>
  <c r="Q266" i="1" s="1"/>
  <c r="N266" i="1"/>
  <c r="P161" i="1"/>
  <c r="Q161" i="1" s="1"/>
  <c r="N161" i="1"/>
  <c r="N277" i="1"/>
  <c r="P277" i="1"/>
  <c r="Q277" i="1" s="1"/>
  <c r="N293" i="1"/>
  <c r="P293" i="1"/>
  <c r="Q293" i="1" s="1"/>
  <c r="P291" i="1"/>
  <c r="Q291" i="1" s="1"/>
  <c r="N291" i="1"/>
  <c r="P76" i="1"/>
  <c r="Q76" i="1" s="1"/>
  <c r="N76" i="1"/>
  <c r="P102" i="1"/>
  <c r="Q102" i="1" s="1"/>
  <c r="N102" i="1"/>
  <c r="P16" i="1"/>
  <c r="Q16" i="1" s="1"/>
  <c r="N16" i="1"/>
  <c r="N139" i="1"/>
  <c r="P139" i="1"/>
  <c r="Q139" i="1" s="1"/>
  <c r="N86" i="1"/>
  <c r="P86" i="1"/>
  <c r="Q86" i="1" s="1"/>
  <c r="P136" i="1"/>
  <c r="Q136" i="1" s="1"/>
  <c r="N136" i="1"/>
  <c r="P21" i="1"/>
  <c r="Q21" i="1" s="1"/>
  <c r="N21" i="1"/>
  <c r="P262" i="1"/>
  <c r="Q262" i="1" s="1"/>
  <c r="N262" i="1"/>
  <c r="P297" i="1"/>
  <c r="Q297" i="1" s="1"/>
  <c r="N297" i="1"/>
  <c r="P87" i="1"/>
  <c r="Q87" i="1" s="1"/>
  <c r="N87" i="1"/>
  <c r="P137" i="1"/>
  <c r="Q137" i="1" s="1"/>
  <c r="N137" i="1"/>
  <c r="N276" i="1"/>
  <c r="P276" i="1"/>
  <c r="Q276" i="1" s="1"/>
  <c r="P243" i="1"/>
  <c r="Q243" i="1" s="1"/>
  <c r="N243" i="1"/>
  <c r="P229" i="1"/>
  <c r="Q229" i="1" s="1"/>
  <c r="N229" i="1"/>
  <c r="N172" i="1"/>
  <c r="P172" i="1"/>
  <c r="Q172" i="1" s="1"/>
  <c r="P126" i="1"/>
  <c r="Q126" i="1" s="1"/>
  <c r="N126" i="1"/>
  <c r="N105" i="1"/>
  <c r="P105" i="1"/>
  <c r="Q105" i="1" s="1"/>
  <c r="N67" i="1"/>
  <c r="P67" i="1"/>
  <c r="Q67" i="1" s="1"/>
  <c r="P50" i="1"/>
  <c r="Q50" i="1" s="1"/>
  <c r="N50" i="1"/>
  <c r="N80" i="1"/>
  <c r="P80" i="1"/>
  <c r="Q80" i="1" s="1"/>
  <c r="P64" i="1"/>
  <c r="Q64" i="1" s="1"/>
  <c r="N64" i="1"/>
  <c r="P60" i="1"/>
  <c r="Q60" i="1" s="1"/>
  <c r="N60" i="1"/>
  <c r="N33" i="1"/>
  <c r="P33" i="1"/>
  <c r="Q33" i="1" s="1"/>
  <c r="N85" i="1"/>
  <c r="P85" i="1"/>
  <c r="Q85" i="1" s="1"/>
  <c r="P83" i="1"/>
  <c r="Q83" i="1" s="1"/>
  <c r="N83" i="1"/>
  <c r="N307" i="1"/>
  <c r="P307" i="1"/>
  <c r="Q307" i="1" s="1"/>
  <c r="P237" i="1"/>
  <c r="Q237" i="1" s="1"/>
  <c r="N237" i="1"/>
  <c r="N230" i="1"/>
  <c r="P230" i="1"/>
  <c r="Q230" i="1" s="1"/>
  <c r="P19" i="1"/>
  <c r="Q19" i="1" s="1"/>
  <c r="N19" i="1"/>
  <c r="P201" i="1"/>
  <c r="Q201" i="1" s="1"/>
  <c r="N201" i="1"/>
  <c r="N44" i="1"/>
  <c r="P44" i="1"/>
  <c r="Q44" i="1" s="1"/>
  <c r="P306" i="1"/>
  <c r="Q306" i="1" s="1"/>
  <c r="N306" i="1"/>
  <c r="P159" i="1"/>
  <c r="Q159" i="1" s="1"/>
  <c r="N159" i="1"/>
  <c r="N11" i="1"/>
  <c r="P11" i="1"/>
  <c r="Q11" i="1" s="1"/>
  <c r="P130" i="1"/>
  <c r="Q130" i="1" s="1"/>
  <c r="N130" i="1"/>
  <c r="P69" i="1"/>
  <c r="Q69" i="1" s="1"/>
  <c r="N69" i="1"/>
  <c r="N98" i="1"/>
  <c r="P98" i="1"/>
  <c r="Q98" i="1" s="1"/>
  <c r="P251" i="1"/>
  <c r="Q251" i="1" s="1"/>
  <c r="N251" i="1"/>
  <c r="P263" i="1"/>
  <c r="Q263" i="1" s="1"/>
  <c r="N263" i="1"/>
  <c r="P52" i="1"/>
  <c r="Q52" i="1" s="1"/>
  <c r="N52" i="1"/>
  <c r="N145" i="1"/>
  <c r="P145" i="1"/>
  <c r="Q145" i="1" s="1"/>
  <c r="P73" i="1"/>
  <c r="Q73" i="1" s="1"/>
  <c r="N73" i="1"/>
  <c r="P155" i="1"/>
  <c r="Q155" i="1" s="1"/>
  <c r="N155" i="1"/>
  <c r="N287" i="1"/>
  <c r="P287" i="1"/>
  <c r="Q287" i="1" s="1"/>
  <c r="P329" i="1"/>
  <c r="Q329" i="1" s="1"/>
  <c r="N329" i="1"/>
  <c r="N113" i="1"/>
  <c r="P113" i="1"/>
  <c r="Q113" i="1" s="1"/>
  <c r="P116" i="1"/>
  <c r="Q116" i="1" s="1"/>
  <c r="N116" i="1"/>
  <c r="P261" i="1"/>
  <c r="Q261" i="1" s="1"/>
  <c r="N261" i="1"/>
  <c r="P234" i="1"/>
  <c r="Q234" i="1" s="1"/>
  <c r="N234" i="1"/>
  <c r="N192" i="1"/>
  <c r="P192" i="1"/>
  <c r="Q192" i="1" s="1"/>
  <c r="P296" i="1"/>
  <c r="Q296" i="1" s="1"/>
  <c r="N296" i="1"/>
  <c r="P30" i="1"/>
  <c r="Q30" i="1" s="1"/>
  <c r="N30" i="1"/>
  <c r="P123" i="1"/>
  <c r="Q123" i="1" s="1"/>
  <c r="N123" i="1"/>
  <c r="N316" i="1"/>
  <c r="P316" i="1"/>
  <c r="Q316" i="1" s="1"/>
  <c r="P225" i="1"/>
  <c r="Q225" i="1" s="1"/>
  <c r="N225" i="1"/>
  <c r="P27" i="1"/>
  <c r="Q27" i="1" s="1"/>
  <c r="N27" i="1"/>
  <c r="P269" i="1"/>
  <c r="Q269" i="1" s="1"/>
  <c r="N269" i="1"/>
  <c r="P61" i="1"/>
  <c r="Q61" i="1" s="1"/>
  <c r="N61" i="1"/>
  <c r="P235" i="1"/>
  <c r="Q235" i="1" s="1"/>
  <c r="N235" i="1"/>
  <c r="P143" i="1"/>
  <c r="Q143" i="1" s="1"/>
  <c r="N143" i="1"/>
  <c r="P103" i="1"/>
  <c r="Q103" i="1" s="1"/>
  <c r="N103" i="1"/>
  <c r="N272" i="1"/>
  <c r="P272" i="1"/>
  <c r="Q272" i="1" s="1"/>
  <c r="P110" i="1"/>
  <c r="Q110" i="1" s="1"/>
  <c r="N110" i="1"/>
  <c r="P4" i="1"/>
  <c r="Q4" i="1" s="1"/>
  <c r="N4" i="1"/>
  <c r="P152" i="1"/>
  <c r="Q152" i="1" s="1"/>
  <c r="N152" i="1"/>
  <c r="P40" i="1"/>
  <c r="Q40" i="1" s="1"/>
  <c r="N40" i="1"/>
  <c r="P274" i="1"/>
  <c r="Q274" i="1" s="1"/>
  <c r="N274" i="1"/>
  <c r="N15" i="1"/>
  <c r="P15" i="1"/>
  <c r="Q15" i="1" s="1"/>
  <c r="N315" i="1"/>
  <c r="P315" i="1"/>
  <c r="Q315" i="1" s="1"/>
  <c r="N275" i="1"/>
  <c r="P275" i="1"/>
  <c r="Q275" i="1" s="1"/>
  <c r="N248" i="1"/>
  <c r="P248" i="1"/>
  <c r="Q248" i="1" s="1"/>
  <c r="N299" i="1"/>
  <c r="P299" i="1"/>
  <c r="Q299" i="1" s="1"/>
  <c r="P202" i="1"/>
  <c r="Q202" i="1" s="1"/>
  <c r="N202" i="1"/>
  <c r="N255" i="1"/>
  <c r="P255" i="1"/>
  <c r="Q255" i="1" s="1"/>
  <c r="N125" i="1"/>
  <c r="P125" i="1"/>
  <c r="Q125" i="1" s="1"/>
  <c r="P212" i="1"/>
  <c r="Q212" i="1" s="1"/>
  <c r="N212" i="1"/>
  <c r="P239" i="1"/>
  <c r="Q239" i="1" s="1"/>
  <c r="N239" i="1"/>
  <c r="P170" i="1"/>
  <c r="Q170" i="1" s="1"/>
  <c r="N170" i="1"/>
  <c r="P14" i="1"/>
  <c r="Q14" i="1" s="1"/>
  <c r="N14" i="1"/>
  <c r="P331" i="1"/>
  <c r="Q331" i="1" s="1"/>
  <c r="N331" i="1"/>
  <c r="N53" i="1"/>
  <c r="P53" i="1"/>
  <c r="Q53" i="1" s="1"/>
  <c r="P334" i="1"/>
  <c r="Q334" i="1" s="1"/>
  <c r="N334" i="1"/>
  <c r="P26" i="1"/>
  <c r="Q26" i="1" s="1"/>
  <c r="N26" i="1"/>
  <c r="P189" i="1"/>
  <c r="Q189" i="1" s="1"/>
  <c r="N189" i="1"/>
  <c r="P323" i="1"/>
  <c r="Q323" i="1" s="1"/>
  <c r="N323" i="1"/>
  <c r="N17" i="1"/>
  <c r="P17" i="1"/>
  <c r="Q17" i="1" s="1"/>
  <c r="P84" i="1"/>
  <c r="Q84" i="1" s="1"/>
  <c r="N84" i="1"/>
  <c r="P238" i="1"/>
  <c r="Q238" i="1" s="1"/>
  <c r="N238" i="1"/>
  <c r="N34" i="1"/>
  <c r="P34" i="1"/>
  <c r="Q34" i="1" s="1"/>
  <c r="P121" i="1"/>
  <c r="Q121" i="1" s="1"/>
  <c r="N121" i="1"/>
  <c r="P290" i="1"/>
  <c r="Q290" i="1" s="1"/>
  <c r="N290" i="1"/>
  <c r="P147" i="1"/>
  <c r="Q147" i="1" s="1"/>
  <c r="N147" i="1"/>
  <c r="P184" i="1"/>
  <c r="Q184" i="1" s="1"/>
  <c r="N184" i="1"/>
  <c r="P167" i="1"/>
  <c r="Q167" i="1" s="1"/>
  <c r="N167" i="1"/>
  <c r="P149" i="1"/>
  <c r="Q149" i="1" s="1"/>
  <c r="N149" i="1"/>
  <c r="N23" i="1"/>
  <c r="P23" i="1"/>
  <c r="Q23" i="1" s="1"/>
  <c r="N324" i="1"/>
  <c r="P324" i="1"/>
  <c r="Q324" i="1" s="1"/>
  <c r="P257" i="1"/>
  <c r="Q257" i="1" s="1"/>
  <c r="N257" i="1"/>
  <c r="N62" i="1"/>
  <c r="P62" i="1"/>
  <c r="Q62" i="1" s="1"/>
  <c r="P162" i="1"/>
  <c r="Q162" i="1" s="1"/>
  <c r="N162" i="1"/>
  <c r="P317" i="1"/>
  <c r="Q317" i="1" s="1"/>
  <c r="N317" i="1"/>
  <c r="P185" i="1"/>
  <c r="Q185" i="1" s="1"/>
  <c r="N185" i="1"/>
  <c r="P42" i="1"/>
  <c r="Q42" i="1" s="1"/>
  <c r="N42" i="1"/>
  <c r="P191" i="1"/>
  <c r="Q191" i="1" s="1"/>
  <c r="N191" i="1"/>
  <c r="N267" i="1"/>
  <c r="P267" i="1"/>
  <c r="Q267" i="1" s="1"/>
  <c r="N282" i="1"/>
  <c r="P282" i="1"/>
  <c r="Q282" i="1" s="1"/>
  <c r="P302" i="1"/>
  <c r="Q302" i="1" s="1"/>
  <c r="N302" i="1"/>
  <c r="P254" i="1"/>
  <c r="Q254" i="1" s="1"/>
  <c r="N254" i="1"/>
  <c r="N327" i="1"/>
  <c r="P327" i="1"/>
  <c r="Q327" i="1" s="1"/>
  <c r="N295" i="1"/>
  <c r="P295" i="1"/>
  <c r="Q295" i="1" s="1"/>
  <c r="P300" i="1"/>
  <c r="Q300" i="1" s="1"/>
  <c r="N300" i="1"/>
  <c r="P310" i="1"/>
  <c r="Q310" i="1" s="1"/>
  <c r="N310" i="1"/>
  <c r="P283" i="1"/>
  <c r="Q283" i="1" s="1"/>
  <c r="N283" i="1"/>
  <c r="P135" i="1"/>
  <c r="Q135" i="1" s="1"/>
  <c r="N135" i="1"/>
  <c r="P219" i="1"/>
  <c r="Q219" i="1" s="1"/>
  <c r="N219" i="1"/>
  <c r="P311" i="1"/>
  <c r="Q311" i="1" s="1"/>
  <c r="N311" i="1"/>
  <c r="P214" i="1"/>
  <c r="Q214" i="1" s="1"/>
  <c r="N214" i="1"/>
  <c r="P305" i="1"/>
  <c r="Q305" i="1" s="1"/>
  <c r="N305" i="1"/>
  <c r="P231" i="1"/>
  <c r="Q231" i="1" s="1"/>
  <c r="N231" i="1"/>
  <c r="N18" i="1"/>
  <c r="P18" i="1"/>
  <c r="Q18" i="1" s="1"/>
  <c r="P151" i="1"/>
  <c r="Q151" i="1" s="1"/>
  <c r="N151" i="1"/>
  <c r="P158" i="1"/>
  <c r="Q158" i="1" s="1"/>
  <c r="N158" i="1"/>
  <c r="N244" i="1"/>
  <c r="P244" i="1"/>
  <c r="Q244" i="1" s="1"/>
  <c r="N140" i="1"/>
  <c r="P140" i="1"/>
  <c r="Q140" i="1" s="1"/>
  <c r="P206" i="1"/>
  <c r="Q206" i="1" s="1"/>
  <c r="N206" i="1"/>
  <c r="P294" i="1"/>
  <c r="Q294" i="1" s="1"/>
  <c r="N294" i="1"/>
  <c r="N180" i="1"/>
  <c r="P180" i="1"/>
  <c r="Q180" i="1" s="1"/>
  <c r="P314" i="1"/>
  <c r="Q314" i="1" s="1"/>
  <c r="N314" i="1"/>
  <c r="P106" i="1"/>
  <c r="Q106" i="1" s="1"/>
  <c r="N106" i="1"/>
  <c r="N313" i="1"/>
  <c r="P313" i="1"/>
  <c r="Q313" i="1" s="1"/>
  <c r="N112" i="1"/>
  <c r="P112" i="1"/>
  <c r="Q112" i="1" s="1"/>
  <c r="P325" i="1"/>
  <c r="Q325" i="1" s="1"/>
  <c r="N325" i="1"/>
  <c r="P90" i="1"/>
  <c r="Q90" i="1" s="1"/>
  <c r="N90" i="1"/>
  <c r="P81" i="1"/>
  <c r="Q81" i="1" s="1"/>
  <c r="N81" i="1"/>
  <c r="N88" i="1"/>
  <c r="P88" i="1"/>
  <c r="Q88" i="1" s="1"/>
  <c r="P298" i="1"/>
  <c r="Q298" i="1" s="1"/>
  <c r="N298" i="1"/>
  <c r="N166" i="1"/>
  <c r="P166" i="1"/>
  <c r="Q166" i="1" s="1"/>
  <c r="N188" i="1"/>
  <c r="P188" i="1"/>
  <c r="Q188" i="1" s="1"/>
  <c r="P131" i="1"/>
  <c r="Q131" i="1" s="1"/>
  <c r="N131" i="1"/>
  <c r="P75" i="1"/>
  <c r="Q75" i="1" s="1"/>
  <c r="N75" i="1"/>
  <c r="P321" i="1"/>
  <c r="Q321" i="1" s="1"/>
  <c r="N321" i="1"/>
  <c r="P319" i="1"/>
  <c r="Q319" i="1" s="1"/>
  <c r="N319" i="1"/>
  <c r="P119" i="1"/>
  <c r="Q119" i="1" s="1"/>
  <c r="N119" i="1"/>
  <c r="P215" i="1"/>
  <c r="Q215" i="1" s="1"/>
  <c r="N215" i="1"/>
  <c r="P280" i="1"/>
  <c r="Q280" i="1" s="1"/>
  <c r="N280" i="1"/>
  <c r="P304" i="1"/>
  <c r="Q304" i="1" s="1"/>
  <c r="N304" i="1"/>
  <c r="N153" i="1"/>
  <c r="P153" i="1"/>
  <c r="Q153" i="1" s="1"/>
  <c r="P242" i="1"/>
  <c r="Q242" i="1" s="1"/>
  <c r="N242" i="1"/>
  <c r="N93" i="1"/>
  <c r="P93" i="1"/>
  <c r="Q93" i="1" s="1"/>
  <c r="P51" i="1"/>
  <c r="Q51" i="1" s="1"/>
  <c r="N51" i="1"/>
  <c r="P99" i="1"/>
  <c r="Q99" i="1" s="1"/>
  <c r="N99" i="1"/>
  <c r="P320" i="1"/>
  <c r="Q320" i="1" s="1"/>
  <c r="N320" i="1"/>
  <c r="N66" i="1"/>
  <c r="P66" i="1"/>
  <c r="Q66" i="1" s="1"/>
  <c r="N146" i="1"/>
  <c r="P146" i="1"/>
  <c r="Q146" i="1" s="1"/>
  <c r="P78" i="1"/>
  <c r="Q78" i="1" s="1"/>
  <c r="N78" i="1"/>
  <c r="P38" i="1"/>
  <c r="Q38" i="1" s="1"/>
  <c r="N38" i="1"/>
  <c r="P77" i="1"/>
  <c r="Q77" i="1" s="1"/>
  <c r="N77" i="1"/>
  <c r="P108" i="1"/>
  <c r="Q108" i="1" s="1"/>
  <c r="N108" i="1"/>
  <c r="P203" i="1"/>
  <c r="Q203" i="1" s="1"/>
  <c r="N203" i="1"/>
  <c r="P169" i="1"/>
  <c r="Q169" i="1" s="1"/>
  <c r="N169" i="1"/>
  <c r="N332" i="1"/>
  <c r="P332" i="1"/>
  <c r="Q332" i="1" s="1"/>
  <c r="P330" i="1"/>
  <c r="Q330" i="1" s="1"/>
  <c r="N330" i="1"/>
  <c r="P175" i="1"/>
  <c r="Q175" i="1" s="1"/>
  <c r="N175" i="1"/>
  <c r="P270" i="1"/>
  <c r="Q270" i="1" s="1"/>
  <c r="N270" i="1"/>
  <c r="P45" i="1"/>
  <c r="Q45" i="1" s="1"/>
  <c r="N45" i="1"/>
  <c r="P12" i="1"/>
  <c r="Q12" i="1" s="1"/>
  <c r="N12" i="1"/>
  <c r="N114" i="1"/>
  <c r="P114" i="1"/>
  <c r="Q114" i="1" s="1"/>
  <c r="P271" i="1"/>
  <c r="Q271" i="1" s="1"/>
  <c r="N271" i="1"/>
  <c r="N326" i="1"/>
  <c r="P326" i="1"/>
  <c r="Q326" i="1" s="1"/>
  <c r="N49" i="1"/>
  <c r="P49" i="1"/>
  <c r="Q49" i="1" s="1"/>
  <c r="P70" i="1"/>
  <c r="Q70" i="1" s="1"/>
  <c r="N70" i="1"/>
  <c r="P138" i="1"/>
  <c r="Q138" i="1" s="1"/>
  <c r="N138" i="1"/>
  <c r="N252" i="1"/>
  <c r="P252" i="1"/>
  <c r="Q252" i="1" s="1"/>
  <c r="P301" i="1"/>
  <c r="Q301" i="1" s="1"/>
  <c r="N301" i="1"/>
  <c r="N210" i="1"/>
  <c r="P210" i="1"/>
  <c r="Q210" i="1" s="1"/>
  <c r="P10" i="1"/>
  <c r="Q10" i="1" s="1"/>
  <c r="N10" i="1"/>
  <c r="N207" i="1"/>
  <c r="P207" i="1"/>
  <c r="Q207" i="1" s="1"/>
  <c r="P59" i="1"/>
  <c r="Q59" i="1" s="1"/>
  <c r="N59" i="1"/>
  <c r="P6" i="1"/>
  <c r="Q6" i="1" s="1"/>
  <c r="N6" i="1"/>
  <c r="P232" i="1"/>
  <c r="Q232" i="1" s="1"/>
  <c r="N232" i="1"/>
  <c r="P20" i="1"/>
  <c r="Q20" i="1" s="1"/>
  <c r="N20" i="1"/>
  <c r="N9" i="1"/>
  <c r="P9" i="1"/>
  <c r="Q9" i="1" s="1"/>
  <c r="N124" i="1"/>
  <c r="P124" i="1"/>
  <c r="Q124" i="1" s="1"/>
  <c r="N227" i="1"/>
  <c r="P227" i="1"/>
  <c r="Q227" i="1" s="1"/>
  <c r="N187" i="1"/>
  <c r="P187" i="1"/>
  <c r="Q187" i="1" s="1"/>
  <c r="N104" i="1"/>
  <c r="P104" i="1"/>
  <c r="Q104" i="1" s="1"/>
  <c r="N333" i="1"/>
  <c r="P333" i="1"/>
  <c r="Q333" i="1" s="1"/>
  <c r="P328" i="1"/>
  <c r="Q328" i="1" s="1"/>
  <c r="N328" i="1"/>
  <c r="N246" i="1"/>
  <c r="P246" i="1"/>
  <c r="Q246" i="1" s="1"/>
  <c r="N279" i="1"/>
  <c r="P279" i="1"/>
  <c r="Q279" i="1" s="1"/>
  <c r="P144" i="1"/>
  <c r="Q144" i="1" s="1"/>
  <c r="N144" i="1"/>
  <c r="N253" i="1"/>
  <c r="P253" i="1"/>
  <c r="Q253" i="1" s="1"/>
  <c r="N213" i="1"/>
  <c r="P213" i="1"/>
  <c r="Q213" i="1" s="1"/>
  <c r="P288" i="1"/>
  <c r="Q288" i="1" s="1"/>
  <c r="N288" i="1"/>
  <c r="P281" i="1"/>
  <c r="Q281" i="1" s="1"/>
  <c r="N281" i="1"/>
  <c r="P39" i="1"/>
  <c r="Q39" i="1" s="1"/>
  <c r="N39" i="1"/>
  <c r="P216" i="1"/>
  <c r="Q216" i="1" s="1"/>
  <c r="N216" i="1"/>
  <c r="P79" i="1"/>
  <c r="Q79" i="1" s="1"/>
  <c r="N79" i="1"/>
  <c r="P284" i="1"/>
  <c r="Q284" i="1" s="1"/>
  <c r="N284" i="1"/>
  <c r="P204" i="1"/>
  <c r="Q204" i="1" s="1"/>
  <c r="N204" i="1"/>
  <c r="N2" i="1"/>
  <c r="P2" i="1"/>
  <c r="Q2" i="1" s="1"/>
  <c r="P43" i="1"/>
  <c r="Q43" i="1" s="1"/>
  <c r="N43" i="1"/>
  <c r="N218" i="1"/>
  <c r="P218" i="1"/>
  <c r="Q218" i="1" s="1"/>
  <c r="P322" i="1"/>
  <c r="Q322" i="1" s="1"/>
  <c r="N322" i="1"/>
  <c r="P111" i="1"/>
  <c r="Q111" i="1" s="1"/>
  <c r="N111" i="1"/>
  <c r="N193" i="1"/>
  <c r="P193" i="1"/>
  <c r="Q193" i="1" s="1"/>
  <c r="P13" i="1"/>
  <c r="Q13" i="1" s="1"/>
  <c r="N13" i="1"/>
  <c r="P171" i="1"/>
  <c r="Q171" i="1" s="1"/>
  <c r="N171" i="1"/>
  <c r="P35" i="1"/>
  <c r="Q35" i="1" s="1"/>
  <c r="N35" i="1"/>
  <c r="N117" i="1"/>
  <c r="P117" i="1"/>
  <c r="Q117" i="1" s="1"/>
  <c r="P31" i="1"/>
  <c r="Q31" i="1" s="1"/>
  <c r="N31" i="1"/>
  <c r="P223" i="1"/>
  <c r="Q223" i="1" s="1"/>
  <c r="N223" i="1"/>
</calcChain>
</file>

<file path=xl/sharedStrings.xml><?xml version="1.0" encoding="utf-8"?>
<sst xmlns="http://schemas.openxmlformats.org/spreadsheetml/2006/main" count="2356" uniqueCount="75">
  <si>
    <t>Date</t>
  </si>
  <si>
    <t>Product</t>
  </si>
  <si>
    <t>Sales Person</t>
  </si>
  <si>
    <t>Boxes Shipped</t>
  </si>
  <si>
    <t>Amount ($)</t>
  </si>
  <si>
    <t>Country</t>
  </si>
  <si>
    <t>Pain Relief Tablets</t>
  </si>
  <si>
    <t>Divya Mehra</t>
  </si>
  <si>
    <t>Australia</t>
  </si>
  <si>
    <t>Antiseptic Cream</t>
  </si>
  <si>
    <t>Nikhil Batra</t>
  </si>
  <si>
    <t>Canada</t>
  </si>
  <si>
    <t>Cough Syrup</t>
  </si>
  <si>
    <t>Ritika Shah</t>
  </si>
  <si>
    <t>UK</t>
  </si>
  <si>
    <t>Digestive Enzyme</t>
  </si>
  <si>
    <t>USA</t>
  </si>
  <si>
    <t>Eye Drops</t>
  </si>
  <si>
    <t>Nasal Spray</t>
  </si>
  <si>
    <t>Priya Singh</t>
  </si>
  <si>
    <t>Sneha Iyer</t>
  </si>
  <si>
    <t>Allergy Pills</t>
  </si>
  <si>
    <t>India</t>
  </si>
  <si>
    <t>Rajesh Patel</t>
  </si>
  <si>
    <t>Aman Verma</t>
  </si>
  <si>
    <t>Year</t>
  </si>
  <si>
    <t>Month</t>
  </si>
  <si>
    <t>Status</t>
  </si>
  <si>
    <t>Total</t>
  </si>
  <si>
    <t>Values</t>
  </si>
  <si>
    <t>WoW Growth %</t>
  </si>
  <si>
    <t>Jan</t>
  </si>
  <si>
    <t>Feb</t>
  </si>
  <si>
    <t>Mar</t>
  </si>
  <si>
    <t>Apr</t>
  </si>
  <si>
    <t>May</t>
  </si>
  <si>
    <t>Jun</t>
  </si>
  <si>
    <t>Jul</t>
  </si>
  <si>
    <t>Aug</t>
  </si>
  <si>
    <t>Sum of Amount ($)</t>
  </si>
  <si>
    <t>Count of Sales Person</t>
  </si>
  <si>
    <t>Degrowing</t>
  </si>
  <si>
    <t>Growing</t>
  </si>
  <si>
    <t>No Growth</t>
  </si>
  <si>
    <t>Total Sales</t>
  </si>
  <si>
    <t>Target Achievement %</t>
  </si>
  <si>
    <t>Avg Weekly Sales</t>
  </si>
  <si>
    <t>Month No</t>
  </si>
  <si>
    <t>Month Start</t>
  </si>
  <si>
    <t>Year-Month</t>
  </si>
  <si>
    <t>Monthly Sales</t>
  </si>
  <si>
    <t>Monthly Target</t>
  </si>
  <si>
    <t>Previous Month Sales</t>
  </si>
  <si>
    <t>MoM Growth %</t>
  </si>
  <si>
    <t>2022-Apr</t>
  </si>
  <si>
    <t>2022-Aug</t>
  </si>
  <si>
    <t>2022-Feb</t>
  </si>
  <si>
    <t>2022-Jan</t>
  </si>
  <si>
    <t>2022-Jul</t>
  </si>
  <si>
    <t>2022-Jun</t>
  </si>
  <si>
    <t>2022-Mar</t>
  </si>
  <si>
    <t>2022-May</t>
  </si>
  <si>
    <t xml:space="preserve"> Monthly Sales</t>
  </si>
  <si>
    <t xml:space="preserve"> Monthly Target</t>
  </si>
  <si>
    <t xml:space="preserve"> Previous Month Sales</t>
  </si>
  <si>
    <t xml:space="preserve"> MoM Growth %</t>
  </si>
  <si>
    <t>Unique Flag</t>
  </si>
  <si>
    <t>Sum of Unique Flag</t>
  </si>
  <si>
    <t>KPI</t>
  </si>
  <si>
    <t>Formula</t>
  </si>
  <si>
    <t>Total Target</t>
  </si>
  <si>
    <t>Active Sales Persons</t>
  </si>
  <si>
    <t>Latest Month Sales</t>
  </si>
  <si>
    <t>manual link</t>
  </si>
  <si>
    <t>manual link from latest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</si>
</sst>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0"/>
    <numFmt numFmtId="165" formatCode="_-[$$-1009]* #,##0_-;\-[$$-1009]* #,##0_-;_-[$$-1009]* &quot;-&quot;_-;_-@_-"/>
  </numFmts>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5"/>
      <color theme="1"/>
      <name val="Aptos Narrow"/>
      <family val="2"/>
      <scheme val="minor"/>
    </font>
    <font>
      <sz val="10"/>
      <color theme="1"/>
      <name val="Arial Unicode MS"/>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33" borderId="0" xfId="0" applyFill="1"/>
    <xf numFmtId="0" fontId="0" fillId="34" borderId="0" xfId="0" applyFill="1"/>
    <xf numFmtId="14" fontId="0" fillId="34" borderId="0" xfId="0" applyNumberFormat="1" applyFill="1"/>
    <xf numFmtId="9" fontId="0" fillId="33" borderId="0" xfId="1" applyFont="1" applyFill="1"/>
    <xf numFmtId="9" fontId="0" fillId="34" borderId="0" xfId="1" applyFont="1" applyFill="1"/>
    <xf numFmtId="9" fontId="0" fillId="0" borderId="0" xfId="1" applyFont="1"/>
    <xf numFmtId="1" fontId="0" fillId="34" borderId="0" xfId="0" applyNumberFormat="1" applyFill="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xf>
    <xf numFmtId="0" fontId="0" fillId="0" borderId="0" xfId="0" pivotButton="1" applyAlignment="1">
      <alignment horizontal="center"/>
    </xf>
    <xf numFmtId="164" fontId="0" fillId="0" borderId="0" xfId="0" applyNumberFormat="1" applyAlignment="1">
      <alignment horizontal="left"/>
    </xf>
    <xf numFmtId="9" fontId="0" fillId="0" borderId="0" xfId="0" applyNumberFormat="1" applyAlignment="1">
      <alignment horizontal="left"/>
    </xf>
    <xf numFmtId="165" fontId="0" fillId="0" borderId="0" xfId="0" applyNumberFormat="1"/>
    <xf numFmtId="165" fontId="0" fillId="0" borderId="0" xfId="0" applyNumberFormat="1" applyAlignment="1">
      <alignment horizontal="left"/>
    </xf>
    <xf numFmtId="0" fontId="16" fillId="0" borderId="0" xfId="0" applyFont="1" applyAlignment="1">
      <alignment horizontal="center" vertical="center" wrapText="1"/>
    </xf>
    <xf numFmtId="0" fontId="0" fillId="0" borderId="0" xfId="0" applyAlignment="1">
      <alignment vertical="center" wrapText="1"/>
    </xf>
    <xf numFmtId="0" fontId="19" fillId="0" borderId="0" xfId="0" applyFont="1" applyAlignment="1">
      <alignment vertical="center" wrapText="1"/>
    </xf>
    <xf numFmtId="9" fontId="19" fillId="0" borderId="0" xfId="1" applyFont="1" applyAlignment="1">
      <alignment vertical="center" wrapText="1"/>
    </xf>
    <xf numFmtId="0" fontId="18" fillId="35" borderId="10" xfId="0" applyFont="1" applyFill="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3">
    <dxf>
      <alignment horizontal="left"/>
    </dxf>
    <dxf>
      <alignment horizontal="left"/>
    </dxf>
    <dxf>
      <numFmt numFmtId="164" formatCode="[$$-1009]#,##0"/>
    </dxf>
    <dxf>
      <numFmt numFmtId="164" formatCode="[$$-1009]#,##0"/>
    </dxf>
    <dxf>
      <numFmt numFmtId="164" formatCode="[$$-1009]#,##0"/>
    </dxf>
    <dxf>
      <alignment horizontal="center"/>
    </dxf>
    <dxf>
      <alignment horizontal="center"/>
    </dxf>
    <dxf>
      <numFmt numFmtId="165" formatCode="_-[$$-1009]* #,##0_-;\-[$$-1009]* #,##0_-;_-[$$-1009]* &quot;-&quot;_-;_-@_-"/>
    </dxf>
    <dxf>
      <alignment horizontal="left"/>
    </dxf>
    <dxf>
      <alignment horizontal="left"/>
    </dxf>
    <dxf>
      <numFmt numFmtId="164" formatCode="[$$-1009]#,##0"/>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[pharmacy_otc_sales_data.xlsx]Pivot!PivotTable7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t>Monthly Sales vs Target</a:t>
            </a:r>
            <a:endParaRPr lang="en-CA"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56135170603669E-2"/>
          <c:y val="0.17171296296296296"/>
          <c:w val="0.90560586176727909"/>
          <c:h val="0.5777161708953048"/>
        </c:manualLayout>
      </c:layout>
      <c:barChart>
        <c:barDir val="col"/>
        <c:grouping val="clustered"/>
        <c:varyColors val="0"/>
        <c:ser>
          <c:idx val="0"/>
          <c:order val="0"/>
          <c:tx>
            <c:strRef>
              <c:f>Pivot!$B$198:$B$199</c:f>
              <c:strCache>
                <c:ptCount val="1"/>
                <c:pt idx="0">
                  <c:v> Monthly Sales</c:v>
                </c:pt>
              </c:strCache>
            </c:strRef>
          </c:tx>
          <c:spPr>
            <a:solidFill>
              <a:schemeClr val="accent1">
                <a:shade val="76000"/>
              </a:schemeClr>
            </a:solidFill>
            <a:ln>
              <a:noFill/>
            </a:ln>
            <a:effectLst/>
          </c:spPr>
          <c:invertIfNegative val="0"/>
          <c:cat>
            <c:strRef>
              <c:f>Pivot!$A$200:$A$207</c:f>
              <c:strCache>
                <c:ptCount val="8"/>
                <c:pt idx="0">
                  <c:v>2022-Apr</c:v>
                </c:pt>
                <c:pt idx="1">
                  <c:v>2022-Aug</c:v>
                </c:pt>
                <c:pt idx="2">
                  <c:v>2022-Feb</c:v>
                </c:pt>
                <c:pt idx="3">
                  <c:v>2022-Jan</c:v>
                </c:pt>
                <c:pt idx="4">
                  <c:v>2022-Jul</c:v>
                </c:pt>
                <c:pt idx="5">
                  <c:v>2022-Jun</c:v>
                </c:pt>
                <c:pt idx="6">
                  <c:v>2022-Mar</c:v>
                </c:pt>
                <c:pt idx="7">
                  <c:v>2022-May</c:v>
                </c:pt>
              </c:strCache>
            </c:strRef>
          </c:cat>
          <c:val>
            <c:numRef>
              <c:f>Pivot!$B$200:$B$207</c:f>
              <c:numCache>
                <c:formatCode>_-[$$-1009]* #,##0_-;\-[$$-1009]* #,##0_-;_-[$$-1009]* "-"_-;_-@_-</c:formatCode>
                <c:ptCount val="8"/>
                <c:pt idx="0">
                  <c:v>2185.4700000000003</c:v>
                </c:pt>
                <c:pt idx="1">
                  <c:v>1721.52</c:v>
                </c:pt>
                <c:pt idx="2">
                  <c:v>1770.3600000000001</c:v>
                </c:pt>
                <c:pt idx="3">
                  <c:v>1368.74</c:v>
                </c:pt>
                <c:pt idx="4">
                  <c:v>1767.0500000000002</c:v>
                </c:pt>
                <c:pt idx="5">
                  <c:v>2252.73</c:v>
                </c:pt>
                <c:pt idx="6">
                  <c:v>1922.5800000000002</c:v>
                </c:pt>
                <c:pt idx="7">
                  <c:v>2645.1499999999996</c:v>
                </c:pt>
              </c:numCache>
            </c:numRef>
          </c:val>
          <c:extLst>
            <c:ext xmlns:c16="http://schemas.microsoft.com/office/drawing/2014/chart" uri="{C3380CC4-5D6E-409C-BE32-E72D297353CC}">
              <c16:uniqueId val="{00000006-CD27-4F85-A4B8-C62F2050A7E0}"/>
            </c:ext>
          </c:extLst>
        </c:ser>
        <c:ser>
          <c:idx val="1"/>
          <c:order val="1"/>
          <c:tx>
            <c:strRef>
              <c:f>Pivot!$C$198:$C$199</c:f>
              <c:strCache>
                <c:ptCount val="1"/>
                <c:pt idx="0">
                  <c:v> Monthly Target</c:v>
                </c:pt>
              </c:strCache>
            </c:strRef>
          </c:tx>
          <c:spPr>
            <a:solidFill>
              <a:schemeClr val="accent1">
                <a:tint val="77000"/>
              </a:schemeClr>
            </a:solidFill>
            <a:ln>
              <a:noFill/>
            </a:ln>
            <a:effectLst/>
          </c:spPr>
          <c:invertIfNegative val="0"/>
          <c:cat>
            <c:strRef>
              <c:f>Pivot!$A$200:$A$207</c:f>
              <c:strCache>
                <c:ptCount val="8"/>
                <c:pt idx="0">
                  <c:v>2022-Apr</c:v>
                </c:pt>
                <c:pt idx="1">
                  <c:v>2022-Aug</c:v>
                </c:pt>
                <c:pt idx="2">
                  <c:v>2022-Feb</c:v>
                </c:pt>
                <c:pt idx="3">
                  <c:v>2022-Jan</c:v>
                </c:pt>
                <c:pt idx="4">
                  <c:v>2022-Jul</c:v>
                </c:pt>
                <c:pt idx="5">
                  <c:v>2022-Jun</c:v>
                </c:pt>
                <c:pt idx="6">
                  <c:v>2022-Mar</c:v>
                </c:pt>
                <c:pt idx="7">
                  <c:v>2022-May</c:v>
                </c:pt>
              </c:strCache>
            </c:strRef>
          </c:cat>
          <c:val>
            <c:numRef>
              <c:f>Pivot!$C$200:$C$207</c:f>
              <c:numCache>
                <c:formatCode>[$$-1009]#,##0</c:formatCode>
                <c:ptCount val="8"/>
                <c:pt idx="0">
                  <c:v>2364.905925925927</c:v>
                </c:pt>
                <c:pt idx="1">
                  <c:v>1945.9349999999999</c:v>
                </c:pt>
                <c:pt idx="2">
                  <c:v>1773.6794444444454</c:v>
                </c:pt>
                <c:pt idx="3">
                  <c:v>4208.9841818181831</c:v>
                </c:pt>
                <c:pt idx="4">
                  <c:v>1945.9349999999999</c:v>
                </c:pt>
                <c:pt idx="5">
                  <c:v>7783.74</c:v>
                </c:pt>
                <c:pt idx="6">
                  <c:v>3792.3947727272725</c:v>
                </c:pt>
                <c:pt idx="7">
                  <c:v>2805.9894545454554</c:v>
                </c:pt>
              </c:numCache>
            </c:numRef>
          </c:val>
          <c:extLst>
            <c:ext xmlns:c16="http://schemas.microsoft.com/office/drawing/2014/chart" uri="{C3380CC4-5D6E-409C-BE32-E72D297353CC}">
              <c16:uniqueId val="{00000007-CD27-4F85-A4B8-C62F2050A7E0}"/>
            </c:ext>
          </c:extLst>
        </c:ser>
        <c:dLbls>
          <c:showLegendKey val="0"/>
          <c:showVal val="0"/>
          <c:showCatName val="0"/>
          <c:showSerName val="0"/>
          <c:showPercent val="0"/>
          <c:showBubbleSize val="0"/>
        </c:dLbls>
        <c:gapWidth val="219"/>
        <c:overlap val="-27"/>
        <c:axId val="1557977599"/>
        <c:axId val="1557978559"/>
      </c:barChart>
      <c:catAx>
        <c:axId val="155797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78559"/>
        <c:crosses val="autoZero"/>
        <c:auto val="1"/>
        <c:lblAlgn val="ctr"/>
        <c:lblOffset val="100"/>
        <c:noMultiLvlLbl val="0"/>
      </c:catAx>
      <c:valAx>
        <c:axId val="1557978559"/>
        <c:scaling>
          <c:orientation val="minMax"/>
        </c:scaling>
        <c:delete val="0"/>
        <c:axPos val="l"/>
        <c:numFmt formatCode="_-[$$-1009]* #,##0_-;\-[$$-1009]* #,##0_-;_-[$$-10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77599"/>
        <c:crosses val="autoZero"/>
        <c:crossBetween val="between"/>
      </c:valAx>
      <c:spPr>
        <a:noFill/>
        <a:ln>
          <a:noFill/>
        </a:ln>
        <a:effectLst/>
      </c:spPr>
    </c:plotArea>
    <c:legend>
      <c:legendPos val="r"/>
      <c:layout>
        <c:manualLayout>
          <c:xMode val="edge"/>
          <c:yMode val="edge"/>
          <c:x val="0.63878130468066496"/>
          <c:y val="2.1908719743365432E-2"/>
          <c:w val="0.34385758420822399"/>
          <c:h val="0.12326552930883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[pharmacy_otc_sales_data.xlsx]Pivot!Daily Sales Trend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t>Daily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021047849788001E-2"/>
          <c:y val="0.15005341880341883"/>
          <c:w val="0.91835074702200692"/>
          <c:h val="0.5608263510330439"/>
        </c:manualLayout>
      </c:layout>
      <c:lineChart>
        <c:grouping val="standard"/>
        <c:varyColors val="0"/>
        <c:ser>
          <c:idx val="0"/>
          <c:order val="0"/>
          <c:tx>
            <c:strRef>
              <c:f>Pivot!$I$1:$I$2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Pivot!$H$3:$H$181</c:f>
              <c:strCache>
                <c:ptCount val="179"/>
                <c:pt idx="0">
                  <c:v>02-01-2022</c:v>
                </c:pt>
                <c:pt idx="1">
                  <c:v>05-01-2022</c:v>
                </c:pt>
                <c:pt idx="2">
                  <c:v>06-01-2022</c:v>
                </c:pt>
                <c:pt idx="3">
                  <c:v>07-01-2022</c:v>
                </c:pt>
                <c:pt idx="4">
                  <c:v>08-01-2022</c:v>
                </c:pt>
                <c:pt idx="5">
                  <c:v>10-01-2022</c:v>
                </c:pt>
                <c:pt idx="6">
                  <c:v>11-01-2022</c:v>
                </c:pt>
                <c:pt idx="7">
                  <c:v>13-01-2022</c:v>
                </c:pt>
                <c:pt idx="8">
                  <c:v>14-01-2022</c:v>
                </c:pt>
                <c:pt idx="9">
                  <c:v>15-01-2022</c:v>
                </c:pt>
                <c:pt idx="10">
                  <c:v>16-01-2022</c:v>
                </c:pt>
                <c:pt idx="11">
                  <c:v>17-01-2022</c:v>
                </c:pt>
                <c:pt idx="12">
                  <c:v>18-01-2022</c:v>
                </c:pt>
                <c:pt idx="13">
                  <c:v>19-01-2022</c:v>
                </c:pt>
                <c:pt idx="14">
                  <c:v>21-01-2022</c:v>
                </c:pt>
                <c:pt idx="15">
                  <c:v>22-01-2022</c:v>
                </c:pt>
                <c:pt idx="16">
                  <c:v>24-01-2022</c:v>
                </c:pt>
                <c:pt idx="17">
                  <c:v>26-01-2022</c:v>
                </c:pt>
                <c:pt idx="18">
                  <c:v>27-01-2022</c:v>
                </c:pt>
                <c:pt idx="19">
                  <c:v>28-01-2022</c:v>
                </c:pt>
                <c:pt idx="20">
                  <c:v>29-01-2022</c:v>
                </c:pt>
                <c:pt idx="21">
                  <c:v>31-01-2022</c:v>
                </c:pt>
                <c:pt idx="22">
                  <c:v>01-02-2022</c:v>
                </c:pt>
                <c:pt idx="23">
                  <c:v>02-02-2022</c:v>
                </c:pt>
                <c:pt idx="24">
                  <c:v>03-02-2022</c:v>
                </c:pt>
                <c:pt idx="25">
                  <c:v>05-02-2022</c:v>
                </c:pt>
                <c:pt idx="26">
                  <c:v>06-02-2022</c:v>
                </c:pt>
                <c:pt idx="27">
                  <c:v>08-02-2022</c:v>
                </c:pt>
                <c:pt idx="28">
                  <c:v>09-02-2022</c:v>
                </c:pt>
                <c:pt idx="29">
                  <c:v>11-02-2022</c:v>
                </c:pt>
                <c:pt idx="30">
                  <c:v>12-02-2022</c:v>
                </c:pt>
                <c:pt idx="31">
                  <c:v>13-02-2022</c:v>
                </c:pt>
                <c:pt idx="32">
                  <c:v>14-02-2022</c:v>
                </c:pt>
                <c:pt idx="33">
                  <c:v>16-02-2022</c:v>
                </c:pt>
                <c:pt idx="34">
                  <c:v>18-02-2022</c:v>
                </c:pt>
                <c:pt idx="35">
                  <c:v>19-02-2022</c:v>
                </c:pt>
                <c:pt idx="36">
                  <c:v>20-02-2022</c:v>
                </c:pt>
                <c:pt idx="37">
                  <c:v>21-02-2022</c:v>
                </c:pt>
                <c:pt idx="38">
                  <c:v>23-02-2022</c:v>
                </c:pt>
                <c:pt idx="39">
                  <c:v>25-02-2022</c:v>
                </c:pt>
                <c:pt idx="40">
                  <c:v>27-02-2022</c:v>
                </c:pt>
                <c:pt idx="41">
                  <c:v>28-02-2022</c:v>
                </c:pt>
                <c:pt idx="42">
                  <c:v>02-03-2022</c:v>
                </c:pt>
                <c:pt idx="43">
                  <c:v>03-03-2022</c:v>
                </c:pt>
                <c:pt idx="44">
                  <c:v>04-03-2022</c:v>
                </c:pt>
                <c:pt idx="45">
                  <c:v>07-03-2022</c:v>
                </c:pt>
                <c:pt idx="46">
                  <c:v>09-03-2022</c:v>
                </c:pt>
                <c:pt idx="47">
                  <c:v>10-03-2022</c:v>
                </c:pt>
                <c:pt idx="48">
                  <c:v>11-03-2022</c:v>
                </c:pt>
                <c:pt idx="49">
                  <c:v>13-03-2022</c:v>
                </c:pt>
                <c:pt idx="50">
                  <c:v>14-03-2022</c:v>
                </c:pt>
                <c:pt idx="51">
                  <c:v>16-03-2022</c:v>
                </c:pt>
                <c:pt idx="52">
                  <c:v>17-03-2022</c:v>
                </c:pt>
                <c:pt idx="53">
                  <c:v>18-03-2022</c:v>
                </c:pt>
                <c:pt idx="54">
                  <c:v>20-03-2022</c:v>
                </c:pt>
                <c:pt idx="55">
                  <c:v>21-03-2022</c:v>
                </c:pt>
                <c:pt idx="56">
                  <c:v>22-03-2022</c:v>
                </c:pt>
                <c:pt idx="57">
                  <c:v>23-03-2022</c:v>
                </c:pt>
                <c:pt idx="58">
                  <c:v>24-03-2022</c:v>
                </c:pt>
                <c:pt idx="59">
                  <c:v>25-03-2022</c:v>
                </c:pt>
                <c:pt idx="60">
                  <c:v>26-03-2022</c:v>
                </c:pt>
                <c:pt idx="61">
                  <c:v>27-03-2022</c:v>
                </c:pt>
                <c:pt idx="62">
                  <c:v>28-03-2022</c:v>
                </c:pt>
                <c:pt idx="63">
                  <c:v>29-03-2022</c:v>
                </c:pt>
                <c:pt idx="64">
                  <c:v>01-04-2022</c:v>
                </c:pt>
                <c:pt idx="65">
                  <c:v>03-04-2022</c:v>
                </c:pt>
                <c:pt idx="66">
                  <c:v>05-04-2022</c:v>
                </c:pt>
                <c:pt idx="67">
                  <c:v>08-04-2022</c:v>
                </c:pt>
                <c:pt idx="68">
                  <c:v>11-04-2022</c:v>
                </c:pt>
                <c:pt idx="69">
                  <c:v>12-04-2022</c:v>
                </c:pt>
                <c:pt idx="70">
                  <c:v>13-04-2022</c:v>
                </c:pt>
                <c:pt idx="71">
                  <c:v>14-04-2022</c:v>
                </c:pt>
                <c:pt idx="72">
                  <c:v>16-04-2022</c:v>
                </c:pt>
                <c:pt idx="73">
                  <c:v>17-04-2022</c:v>
                </c:pt>
                <c:pt idx="74">
                  <c:v>19-04-2022</c:v>
                </c:pt>
                <c:pt idx="75">
                  <c:v>20-04-2022</c:v>
                </c:pt>
                <c:pt idx="76">
                  <c:v>22-04-2022</c:v>
                </c:pt>
                <c:pt idx="77">
                  <c:v>23-04-2022</c:v>
                </c:pt>
                <c:pt idx="78">
                  <c:v>24-04-2022</c:v>
                </c:pt>
                <c:pt idx="79">
                  <c:v>25-04-2022</c:v>
                </c:pt>
                <c:pt idx="80">
                  <c:v>26-04-2022</c:v>
                </c:pt>
                <c:pt idx="81">
                  <c:v>27-04-2022</c:v>
                </c:pt>
                <c:pt idx="82">
                  <c:v>29-04-2022</c:v>
                </c:pt>
                <c:pt idx="83">
                  <c:v>30-04-2022</c:v>
                </c:pt>
                <c:pt idx="84">
                  <c:v>02-05-2022</c:v>
                </c:pt>
                <c:pt idx="85">
                  <c:v>03-05-2022</c:v>
                </c:pt>
                <c:pt idx="86">
                  <c:v>04-05-2022</c:v>
                </c:pt>
                <c:pt idx="87">
                  <c:v>05-05-2022</c:v>
                </c:pt>
                <c:pt idx="88">
                  <c:v>06-05-2022</c:v>
                </c:pt>
                <c:pt idx="89">
                  <c:v>09-05-2022</c:v>
                </c:pt>
                <c:pt idx="90">
                  <c:v>12-05-2022</c:v>
                </c:pt>
                <c:pt idx="91">
                  <c:v>13-05-2022</c:v>
                </c:pt>
                <c:pt idx="92">
                  <c:v>14-05-2022</c:v>
                </c:pt>
                <c:pt idx="93">
                  <c:v>15-05-2022</c:v>
                </c:pt>
                <c:pt idx="94">
                  <c:v>16-05-2022</c:v>
                </c:pt>
                <c:pt idx="95">
                  <c:v>17-05-2022</c:v>
                </c:pt>
                <c:pt idx="96">
                  <c:v>18-05-2022</c:v>
                </c:pt>
                <c:pt idx="97">
                  <c:v>19-05-2022</c:v>
                </c:pt>
                <c:pt idx="98">
                  <c:v>20-05-2022</c:v>
                </c:pt>
                <c:pt idx="99">
                  <c:v>21-05-2022</c:v>
                </c:pt>
                <c:pt idx="100">
                  <c:v>23-05-2022</c:v>
                </c:pt>
                <c:pt idx="101">
                  <c:v>24-05-2022</c:v>
                </c:pt>
                <c:pt idx="102">
                  <c:v>25-05-2022</c:v>
                </c:pt>
                <c:pt idx="103">
                  <c:v>26-05-2022</c:v>
                </c:pt>
                <c:pt idx="104">
                  <c:v>27-05-2022</c:v>
                </c:pt>
                <c:pt idx="105">
                  <c:v>28-05-2022</c:v>
                </c:pt>
                <c:pt idx="106">
                  <c:v>29-05-2022</c:v>
                </c:pt>
                <c:pt idx="107">
                  <c:v>30-05-2022</c:v>
                </c:pt>
                <c:pt idx="108">
                  <c:v>31-05-2022</c:v>
                </c:pt>
                <c:pt idx="109">
                  <c:v>02-06-2022</c:v>
                </c:pt>
                <c:pt idx="110">
                  <c:v>03-06-2022</c:v>
                </c:pt>
                <c:pt idx="111">
                  <c:v>04-06-2022</c:v>
                </c:pt>
                <c:pt idx="112">
                  <c:v>05-06-2022</c:v>
                </c:pt>
                <c:pt idx="113">
                  <c:v>06-06-2022</c:v>
                </c:pt>
                <c:pt idx="114">
                  <c:v>07-06-2022</c:v>
                </c:pt>
                <c:pt idx="115">
                  <c:v>09-06-2022</c:v>
                </c:pt>
                <c:pt idx="116">
                  <c:v>10-06-2022</c:v>
                </c:pt>
                <c:pt idx="117">
                  <c:v>11-06-2022</c:v>
                </c:pt>
                <c:pt idx="118">
                  <c:v>15-06-2022</c:v>
                </c:pt>
                <c:pt idx="119">
                  <c:v>16-06-2022</c:v>
                </c:pt>
                <c:pt idx="120">
                  <c:v>17-06-2022</c:v>
                </c:pt>
                <c:pt idx="121">
                  <c:v>18-06-2022</c:v>
                </c:pt>
                <c:pt idx="122">
                  <c:v>19-06-2022</c:v>
                </c:pt>
                <c:pt idx="123">
                  <c:v>21-06-2022</c:v>
                </c:pt>
                <c:pt idx="124">
                  <c:v>22-06-2022</c:v>
                </c:pt>
                <c:pt idx="125">
                  <c:v>23-06-2022</c:v>
                </c:pt>
                <c:pt idx="126">
                  <c:v>25-06-2022</c:v>
                </c:pt>
                <c:pt idx="127">
                  <c:v>26-06-2022</c:v>
                </c:pt>
                <c:pt idx="128">
                  <c:v>27-06-2022</c:v>
                </c:pt>
                <c:pt idx="129">
                  <c:v>28-06-2022</c:v>
                </c:pt>
                <c:pt idx="130">
                  <c:v>30-06-2022</c:v>
                </c:pt>
                <c:pt idx="131">
                  <c:v>01-07-2022</c:v>
                </c:pt>
                <c:pt idx="132">
                  <c:v>02-07-2022</c:v>
                </c:pt>
                <c:pt idx="133">
                  <c:v>03-07-2022</c:v>
                </c:pt>
                <c:pt idx="134">
                  <c:v>05-07-2022</c:v>
                </c:pt>
                <c:pt idx="135">
                  <c:v>06-07-2022</c:v>
                </c:pt>
                <c:pt idx="136">
                  <c:v>07-07-2022</c:v>
                </c:pt>
                <c:pt idx="137">
                  <c:v>08-07-2022</c:v>
                </c:pt>
                <c:pt idx="138">
                  <c:v>09-07-2022</c:v>
                </c:pt>
                <c:pt idx="139">
                  <c:v>10-07-2022</c:v>
                </c:pt>
                <c:pt idx="140">
                  <c:v>11-07-2022</c:v>
                </c:pt>
                <c:pt idx="141">
                  <c:v>13-07-2022</c:v>
                </c:pt>
                <c:pt idx="142">
                  <c:v>14-07-2022</c:v>
                </c:pt>
                <c:pt idx="143">
                  <c:v>15-07-2022</c:v>
                </c:pt>
                <c:pt idx="144">
                  <c:v>16-07-2022</c:v>
                </c:pt>
                <c:pt idx="145">
                  <c:v>17-07-2022</c:v>
                </c:pt>
                <c:pt idx="146">
                  <c:v>18-07-2022</c:v>
                </c:pt>
                <c:pt idx="147">
                  <c:v>20-07-2022</c:v>
                </c:pt>
                <c:pt idx="148">
                  <c:v>22-07-2022</c:v>
                </c:pt>
                <c:pt idx="149">
                  <c:v>23-07-2022</c:v>
                </c:pt>
                <c:pt idx="150">
                  <c:v>24-07-2022</c:v>
                </c:pt>
                <c:pt idx="151">
                  <c:v>25-07-2022</c:v>
                </c:pt>
                <c:pt idx="152">
                  <c:v>26-07-2022</c:v>
                </c:pt>
                <c:pt idx="153">
                  <c:v>27-07-2022</c:v>
                </c:pt>
                <c:pt idx="154">
                  <c:v>28-07-2022</c:v>
                </c:pt>
                <c:pt idx="155">
                  <c:v>29-07-2022</c:v>
                </c:pt>
                <c:pt idx="156">
                  <c:v>31-07-2022</c:v>
                </c:pt>
                <c:pt idx="157">
                  <c:v>01-08-2022</c:v>
                </c:pt>
                <c:pt idx="158">
                  <c:v>02-08-2022</c:v>
                </c:pt>
                <c:pt idx="159">
                  <c:v>03-08-2022</c:v>
                </c:pt>
                <c:pt idx="160">
                  <c:v>04-08-2022</c:v>
                </c:pt>
                <c:pt idx="161">
                  <c:v>05-08-2022</c:v>
                </c:pt>
                <c:pt idx="162">
                  <c:v>06-08-2022</c:v>
                </c:pt>
                <c:pt idx="163">
                  <c:v>10-08-2022</c:v>
                </c:pt>
                <c:pt idx="164">
                  <c:v>11-08-2022</c:v>
                </c:pt>
                <c:pt idx="165">
                  <c:v>12-08-2022</c:v>
                </c:pt>
                <c:pt idx="166">
                  <c:v>13-08-2022</c:v>
                </c:pt>
                <c:pt idx="167">
                  <c:v>14-08-2022</c:v>
                </c:pt>
                <c:pt idx="168">
                  <c:v>17-08-2022</c:v>
                </c:pt>
                <c:pt idx="169">
                  <c:v>19-08-2022</c:v>
                </c:pt>
                <c:pt idx="170">
                  <c:v>21-08-2022</c:v>
                </c:pt>
                <c:pt idx="171">
                  <c:v>22-08-2022</c:v>
                </c:pt>
                <c:pt idx="172">
                  <c:v>23-08-2022</c:v>
                </c:pt>
                <c:pt idx="173">
                  <c:v>25-08-2022</c:v>
                </c:pt>
                <c:pt idx="174">
                  <c:v>26-08-2022</c:v>
                </c:pt>
                <c:pt idx="175">
                  <c:v>27-08-2022</c:v>
                </c:pt>
                <c:pt idx="176">
                  <c:v>28-08-2022</c:v>
                </c:pt>
                <c:pt idx="177">
                  <c:v>29-08-2022</c:v>
                </c:pt>
                <c:pt idx="178">
                  <c:v>31-08-2022</c:v>
                </c:pt>
              </c:strCache>
            </c:strRef>
          </c:cat>
          <c:val>
            <c:numRef>
              <c:f>Pivot!$I$3:$I$181</c:f>
              <c:numCache>
                <c:formatCode>[$$-1009]#,##0</c:formatCode>
                <c:ptCount val="179"/>
                <c:pt idx="0">
                  <c:v>244.41000000000003</c:v>
                </c:pt>
                <c:pt idx="1">
                  <c:v>247.43</c:v>
                </c:pt>
                <c:pt idx="2">
                  <c:v>54.15</c:v>
                </c:pt>
                <c:pt idx="3">
                  <c:v>756.15</c:v>
                </c:pt>
                <c:pt idx="4">
                  <c:v>392.8</c:v>
                </c:pt>
                <c:pt idx="5">
                  <c:v>328.78</c:v>
                </c:pt>
                <c:pt idx="6">
                  <c:v>210.77</c:v>
                </c:pt>
                <c:pt idx="7">
                  <c:v>674.27</c:v>
                </c:pt>
                <c:pt idx="8">
                  <c:v>289.57</c:v>
                </c:pt>
                <c:pt idx="9">
                  <c:v>211.91</c:v>
                </c:pt>
                <c:pt idx="10">
                  <c:v>27.98</c:v>
                </c:pt>
                <c:pt idx="11">
                  <c:v>147.72999999999999</c:v>
                </c:pt>
                <c:pt idx="12">
                  <c:v>225.25</c:v>
                </c:pt>
                <c:pt idx="13">
                  <c:v>656.04</c:v>
                </c:pt>
                <c:pt idx="14">
                  <c:v>180.5</c:v>
                </c:pt>
                <c:pt idx="15">
                  <c:v>68.209999999999994</c:v>
                </c:pt>
                <c:pt idx="16">
                  <c:v>89.29</c:v>
                </c:pt>
                <c:pt idx="17">
                  <c:v>141.91999999999999</c:v>
                </c:pt>
                <c:pt idx="18">
                  <c:v>192.17000000000002</c:v>
                </c:pt>
                <c:pt idx="19">
                  <c:v>65.17</c:v>
                </c:pt>
                <c:pt idx="20">
                  <c:v>176.73</c:v>
                </c:pt>
                <c:pt idx="21">
                  <c:v>155.16</c:v>
                </c:pt>
                <c:pt idx="22">
                  <c:v>202.9</c:v>
                </c:pt>
                <c:pt idx="23">
                  <c:v>88.26</c:v>
                </c:pt>
                <c:pt idx="24">
                  <c:v>602.98</c:v>
                </c:pt>
                <c:pt idx="25">
                  <c:v>951.04</c:v>
                </c:pt>
                <c:pt idx="26">
                  <c:v>67.430000000000007</c:v>
                </c:pt>
                <c:pt idx="27">
                  <c:v>924.76</c:v>
                </c:pt>
                <c:pt idx="28">
                  <c:v>734.92000000000007</c:v>
                </c:pt>
                <c:pt idx="29">
                  <c:v>931.31999999999994</c:v>
                </c:pt>
                <c:pt idx="30">
                  <c:v>290.45</c:v>
                </c:pt>
                <c:pt idx="31">
                  <c:v>446.41999999999996</c:v>
                </c:pt>
                <c:pt idx="32">
                  <c:v>336.15000000000003</c:v>
                </c:pt>
                <c:pt idx="33">
                  <c:v>129.05000000000001</c:v>
                </c:pt>
                <c:pt idx="34">
                  <c:v>136.5</c:v>
                </c:pt>
                <c:pt idx="35">
                  <c:v>48.25</c:v>
                </c:pt>
                <c:pt idx="36">
                  <c:v>276.45999999999998</c:v>
                </c:pt>
                <c:pt idx="37">
                  <c:v>608.76</c:v>
                </c:pt>
                <c:pt idx="38">
                  <c:v>127.61</c:v>
                </c:pt>
                <c:pt idx="39">
                  <c:v>273.35000000000002</c:v>
                </c:pt>
                <c:pt idx="40">
                  <c:v>89.41</c:v>
                </c:pt>
                <c:pt idx="41">
                  <c:v>185.48</c:v>
                </c:pt>
                <c:pt idx="42">
                  <c:v>1042.5999999999999</c:v>
                </c:pt>
                <c:pt idx="43">
                  <c:v>318.33</c:v>
                </c:pt>
                <c:pt idx="44">
                  <c:v>182.35</c:v>
                </c:pt>
                <c:pt idx="45">
                  <c:v>805.04</c:v>
                </c:pt>
                <c:pt idx="46">
                  <c:v>246.17</c:v>
                </c:pt>
                <c:pt idx="47">
                  <c:v>371.81000000000006</c:v>
                </c:pt>
                <c:pt idx="48">
                  <c:v>244.66</c:v>
                </c:pt>
                <c:pt idx="49">
                  <c:v>795.57999999999993</c:v>
                </c:pt>
                <c:pt idx="50">
                  <c:v>244.72</c:v>
                </c:pt>
                <c:pt idx="51">
                  <c:v>123.89</c:v>
                </c:pt>
                <c:pt idx="52">
                  <c:v>209.95</c:v>
                </c:pt>
                <c:pt idx="53">
                  <c:v>197.20999999999998</c:v>
                </c:pt>
                <c:pt idx="54">
                  <c:v>394.01</c:v>
                </c:pt>
                <c:pt idx="55">
                  <c:v>134.53</c:v>
                </c:pt>
                <c:pt idx="56">
                  <c:v>214</c:v>
                </c:pt>
                <c:pt idx="57">
                  <c:v>366.29999999999995</c:v>
                </c:pt>
                <c:pt idx="58">
                  <c:v>443.56</c:v>
                </c:pt>
                <c:pt idx="59">
                  <c:v>94.04</c:v>
                </c:pt>
                <c:pt idx="60">
                  <c:v>54.26</c:v>
                </c:pt>
                <c:pt idx="61">
                  <c:v>89.01</c:v>
                </c:pt>
                <c:pt idx="62">
                  <c:v>246.33999999999997</c:v>
                </c:pt>
                <c:pt idx="63">
                  <c:v>243.79</c:v>
                </c:pt>
                <c:pt idx="64">
                  <c:v>112.85</c:v>
                </c:pt>
                <c:pt idx="65">
                  <c:v>40.32</c:v>
                </c:pt>
                <c:pt idx="66">
                  <c:v>397.29</c:v>
                </c:pt>
                <c:pt idx="67">
                  <c:v>622.77</c:v>
                </c:pt>
                <c:pt idx="68">
                  <c:v>550.43000000000006</c:v>
                </c:pt>
                <c:pt idx="69">
                  <c:v>161.49</c:v>
                </c:pt>
                <c:pt idx="70">
                  <c:v>294.16000000000003</c:v>
                </c:pt>
                <c:pt idx="71">
                  <c:v>409.43</c:v>
                </c:pt>
                <c:pt idx="72">
                  <c:v>141.33000000000001</c:v>
                </c:pt>
                <c:pt idx="73">
                  <c:v>342.89000000000004</c:v>
                </c:pt>
                <c:pt idx="74">
                  <c:v>551.80000000000007</c:v>
                </c:pt>
                <c:pt idx="75">
                  <c:v>396.99</c:v>
                </c:pt>
                <c:pt idx="76">
                  <c:v>523.17999999999995</c:v>
                </c:pt>
                <c:pt idx="77">
                  <c:v>96.7</c:v>
                </c:pt>
                <c:pt idx="78">
                  <c:v>318.47000000000003</c:v>
                </c:pt>
                <c:pt idx="79">
                  <c:v>64.41</c:v>
                </c:pt>
                <c:pt idx="80">
                  <c:v>802.92000000000007</c:v>
                </c:pt>
                <c:pt idx="81">
                  <c:v>1069.3399999999999</c:v>
                </c:pt>
                <c:pt idx="82">
                  <c:v>295.77999999999997</c:v>
                </c:pt>
                <c:pt idx="83">
                  <c:v>146.6</c:v>
                </c:pt>
                <c:pt idx="84">
                  <c:v>260.35000000000002</c:v>
                </c:pt>
                <c:pt idx="85">
                  <c:v>367</c:v>
                </c:pt>
                <c:pt idx="86">
                  <c:v>142.63</c:v>
                </c:pt>
                <c:pt idx="87">
                  <c:v>345.67</c:v>
                </c:pt>
                <c:pt idx="88">
                  <c:v>178.45</c:v>
                </c:pt>
                <c:pt idx="89">
                  <c:v>259.84000000000003</c:v>
                </c:pt>
                <c:pt idx="90">
                  <c:v>192.59</c:v>
                </c:pt>
                <c:pt idx="91">
                  <c:v>134.85</c:v>
                </c:pt>
                <c:pt idx="92">
                  <c:v>648.25</c:v>
                </c:pt>
                <c:pt idx="93">
                  <c:v>471.36</c:v>
                </c:pt>
                <c:pt idx="94">
                  <c:v>136.59</c:v>
                </c:pt>
                <c:pt idx="95">
                  <c:v>339.14</c:v>
                </c:pt>
                <c:pt idx="96">
                  <c:v>445.21999999999997</c:v>
                </c:pt>
                <c:pt idx="97">
                  <c:v>79.459999999999994</c:v>
                </c:pt>
                <c:pt idx="98">
                  <c:v>426.02</c:v>
                </c:pt>
                <c:pt idx="99">
                  <c:v>429</c:v>
                </c:pt>
                <c:pt idx="100">
                  <c:v>838.6</c:v>
                </c:pt>
                <c:pt idx="101">
                  <c:v>468.9</c:v>
                </c:pt>
                <c:pt idx="102">
                  <c:v>197.08999999999997</c:v>
                </c:pt>
                <c:pt idx="103">
                  <c:v>155.31</c:v>
                </c:pt>
                <c:pt idx="104">
                  <c:v>151.09</c:v>
                </c:pt>
                <c:pt idx="105">
                  <c:v>708.93000000000006</c:v>
                </c:pt>
                <c:pt idx="106">
                  <c:v>629.54999999999995</c:v>
                </c:pt>
                <c:pt idx="107">
                  <c:v>123.12</c:v>
                </c:pt>
                <c:pt idx="108">
                  <c:v>755.99</c:v>
                </c:pt>
                <c:pt idx="109">
                  <c:v>149.85</c:v>
                </c:pt>
                <c:pt idx="110">
                  <c:v>973.19</c:v>
                </c:pt>
                <c:pt idx="111">
                  <c:v>41.09</c:v>
                </c:pt>
                <c:pt idx="112">
                  <c:v>400.49</c:v>
                </c:pt>
                <c:pt idx="113">
                  <c:v>372.53000000000003</c:v>
                </c:pt>
                <c:pt idx="114">
                  <c:v>381.45</c:v>
                </c:pt>
                <c:pt idx="115">
                  <c:v>307.75</c:v>
                </c:pt>
                <c:pt idx="116">
                  <c:v>272.97000000000003</c:v>
                </c:pt>
                <c:pt idx="117">
                  <c:v>245.23000000000002</c:v>
                </c:pt>
                <c:pt idx="118">
                  <c:v>127.82</c:v>
                </c:pt>
                <c:pt idx="119">
                  <c:v>581.74</c:v>
                </c:pt>
                <c:pt idx="120">
                  <c:v>287.52999999999997</c:v>
                </c:pt>
                <c:pt idx="121">
                  <c:v>238.86</c:v>
                </c:pt>
                <c:pt idx="122">
                  <c:v>633.45000000000005</c:v>
                </c:pt>
                <c:pt idx="123">
                  <c:v>44.7</c:v>
                </c:pt>
                <c:pt idx="124">
                  <c:v>134.24</c:v>
                </c:pt>
                <c:pt idx="125">
                  <c:v>240.46999999999997</c:v>
                </c:pt>
                <c:pt idx="126">
                  <c:v>402.03999999999996</c:v>
                </c:pt>
                <c:pt idx="127">
                  <c:v>649.26</c:v>
                </c:pt>
                <c:pt idx="128">
                  <c:v>176.45</c:v>
                </c:pt>
                <c:pt idx="129">
                  <c:v>88.38</c:v>
                </c:pt>
                <c:pt idx="130">
                  <c:v>270.07</c:v>
                </c:pt>
                <c:pt idx="131">
                  <c:v>195.23000000000002</c:v>
                </c:pt>
                <c:pt idx="132">
                  <c:v>718.9</c:v>
                </c:pt>
                <c:pt idx="133">
                  <c:v>257.7</c:v>
                </c:pt>
                <c:pt idx="134">
                  <c:v>217.38</c:v>
                </c:pt>
                <c:pt idx="135">
                  <c:v>367.4</c:v>
                </c:pt>
                <c:pt idx="136">
                  <c:v>77.03</c:v>
                </c:pt>
                <c:pt idx="137">
                  <c:v>153.08000000000001</c:v>
                </c:pt>
                <c:pt idx="138">
                  <c:v>764.75</c:v>
                </c:pt>
                <c:pt idx="139">
                  <c:v>102.72</c:v>
                </c:pt>
                <c:pt idx="140">
                  <c:v>326.24</c:v>
                </c:pt>
                <c:pt idx="141">
                  <c:v>431.39</c:v>
                </c:pt>
                <c:pt idx="142">
                  <c:v>704.88</c:v>
                </c:pt>
                <c:pt idx="143">
                  <c:v>845.03</c:v>
                </c:pt>
                <c:pt idx="144">
                  <c:v>295.71000000000004</c:v>
                </c:pt>
                <c:pt idx="145">
                  <c:v>327.24</c:v>
                </c:pt>
                <c:pt idx="146">
                  <c:v>97.26</c:v>
                </c:pt>
                <c:pt idx="147">
                  <c:v>101.75</c:v>
                </c:pt>
                <c:pt idx="148">
                  <c:v>479.93</c:v>
                </c:pt>
                <c:pt idx="149">
                  <c:v>122.71</c:v>
                </c:pt>
                <c:pt idx="150">
                  <c:v>683.88</c:v>
                </c:pt>
                <c:pt idx="151">
                  <c:v>312.06</c:v>
                </c:pt>
                <c:pt idx="152">
                  <c:v>17.670000000000002</c:v>
                </c:pt>
                <c:pt idx="153">
                  <c:v>367.01</c:v>
                </c:pt>
                <c:pt idx="154">
                  <c:v>22.99</c:v>
                </c:pt>
                <c:pt idx="155">
                  <c:v>380.27</c:v>
                </c:pt>
                <c:pt idx="156">
                  <c:v>384.23</c:v>
                </c:pt>
                <c:pt idx="157">
                  <c:v>215.35000000000002</c:v>
                </c:pt>
                <c:pt idx="158">
                  <c:v>301.01</c:v>
                </c:pt>
                <c:pt idx="159">
                  <c:v>88.2</c:v>
                </c:pt>
                <c:pt idx="160">
                  <c:v>383.90999999999997</c:v>
                </c:pt>
                <c:pt idx="161">
                  <c:v>279.99</c:v>
                </c:pt>
                <c:pt idx="162">
                  <c:v>585.74</c:v>
                </c:pt>
                <c:pt idx="163">
                  <c:v>406.29</c:v>
                </c:pt>
                <c:pt idx="164">
                  <c:v>276.8</c:v>
                </c:pt>
                <c:pt idx="165">
                  <c:v>78.790000000000006</c:v>
                </c:pt>
                <c:pt idx="166">
                  <c:v>97.52</c:v>
                </c:pt>
                <c:pt idx="167">
                  <c:v>48.19</c:v>
                </c:pt>
                <c:pt idx="168">
                  <c:v>622.88</c:v>
                </c:pt>
                <c:pt idx="169">
                  <c:v>163.5</c:v>
                </c:pt>
                <c:pt idx="170">
                  <c:v>436.52</c:v>
                </c:pt>
                <c:pt idx="171">
                  <c:v>146.37</c:v>
                </c:pt>
                <c:pt idx="172">
                  <c:v>335.13</c:v>
                </c:pt>
                <c:pt idx="173">
                  <c:v>625.55999999999995</c:v>
                </c:pt>
                <c:pt idx="174">
                  <c:v>745.96</c:v>
                </c:pt>
                <c:pt idx="175">
                  <c:v>112.49</c:v>
                </c:pt>
                <c:pt idx="176">
                  <c:v>472.1</c:v>
                </c:pt>
                <c:pt idx="177">
                  <c:v>188.06</c:v>
                </c:pt>
                <c:pt idx="178">
                  <c:v>270.74</c:v>
                </c:pt>
              </c:numCache>
            </c:numRef>
          </c:val>
          <c:smooth val="0"/>
          <c:extLst>
            <c:ext xmlns:c16="http://schemas.microsoft.com/office/drawing/2014/chart" uri="{C3380CC4-5D6E-409C-BE32-E72D297353CC}">
              <c16:uniqueId val="{00000000-DA24-44A3-B1FD-7E19B770F2E6}"/>
            </c:ext>
          </c:extLst>
        </c:ser>
        <c:dLbls>
          <c:showLegendKey val="0"/>
          <c:showVal val="0"/>
          <c:showCatName val="0"/>
          <c:showSerName val="0"/>
          <c:showPercent val="0"/>
          <c:showBubbleSize val="0"/>
        </c:dLbls>
        <c:marker val="1"/>
        <c:smooth val="0"/>
        <c:axId val="1713561055"/>
        <c:axId val="1713560575"/>
      </c:lineChart>
      <c:catAx>
        <c:axId val="171356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60575"/>
        <c:crosses val="autoZero"/>
        <c:auto val="1"/>
        <c:lblAlgn val="ctr"/>
        <c:lblOffset val="100"/>
        <c:noMultiLvlLbl val="0"/>
      </c:catAx>
      <c:valAx>
        <c:axId val="1713560575"/>
        <c:scaling>
          <c:orientation val="minMax"/>
        </c:scaling>
        <c:delete val="0"/>
        <c:axPos val="l"/>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6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[pharmacy_otc_sales_data.xlsx]Pivot!Sales Person Performance</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CA" sz="1400" b="1" i="0" u="none" strike="noStrike" baseline="0"/>
              <a:t>Sales Person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Pivot!$L$1:$L$2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Pivot!$K$3:$K$9</c:f>
              <c:strCache>
                <c:ptCount val="7"/>
                <c:pt idx="0">
                  <c:v>Sneha Iyer</c:v>
                </c:pt>
                <c:pt idx="1">
                  <c:v>Divya Mehra</c:v>
                </c:pt>
                <c:pt idx="2">
                  <c:v>Aman Verma</c:v>
                </c:pt>
                <c:pt idx="3">
                  <c:v>Ritika Shah</c:v>
                </c:pt>
                <c:pt idx="4">
                  <c:v>Priya Singh</c:v>
                </c:pt>
                <c:pt idx="5">
                  <c:v>Nikhil Batra</c:v>
                </c:pt>
                <c:pt idx="6">
                  <c:v>Rajesh Patel</c:v>
                </c:pt>
              </c:strCache>
            </c:strRef>
          </c:cat>
          <c:val>
            <c:numRef>
              <c:f>Pivot!$L$3:$L$9</c:f>
              <c:numCache>
                <c:formatCode>[$$-1009]#,##0</c:formatCode>
                <c:ptCount val="7"/>
                <c:pt idx="0">
                  <c:v>6486.45</c:v>
                </c:pt>
                <c:pt idx="1">
                  <c:v>6896.1499999999987</c:v>
                </c:pt>
                <c:pt idx="2">
                  <c:v>7039.07</c:v>
                </c:pt>
                <c:pt idx="3">
                  <c:v>7945.9699999999993</c:v>
                </c:pt>
                <c:pt idx="4">
                  <c:v>9121.7800000000043</c:v>
                </c:pt>
                <c:pt idx="5">
                  <c:v>10416.34</c:v>
                </c:pt>
                <c:pt idx="6">
                  <c:v>11023.530000000002</c:v>
                </c:pt>
              </c:numCache>
            </c:numRef>
          </c:val>
          <c:extLst>
            <c:ext xmlns:c16="http://schemas.microsoft.com/office/drawing/2014/chart" uri="{C3380CC4-5D6E-409C-BE32-E72D297353CC}">
              <c16:uniqueId val="{00000000-0F23-4A59-A652-E3C97C4532EF}"/>
            </c:ext>
          </c:extLst>
        </c:ser>
        <c:dLbls>
          <c:dLblPos val="outEnd"/>
          <c:showLegendKey val="0"/>
          <c:showVal val="1"/>
          <c:showCatName val="0"/>
          <c:showSerName val="0"/>
          <c:showPercent val="0"/>
          <c:showBubbleSize val="0"/>
        </c:dLbls>
        <c:gapWidth val="182"/>
        <c:axId val="1671190287"/>
        <c:axId val="1671192207"/>
      </c:barChart>
      <c:catAx>
        <c:axId val="167119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192207"/>
        <c:crosses val="autoZero"/>
        <c:auto val="1"/>
        <c:lblAlgn val="ctr"/>
        <c:lblOffset val="100"/>
        <c:noMultiLvlLbl val="0"/>
      </c:catAx>
      <c:valAx>
        <c:axId val="1671192207"/>
        <c:scaling>
          <c:orientation val="minMax"/>
        </c:scaling>
        <c:delete val="1"/>
        <c:axPos val="b"/>
        <c:numFmt formatCode="[$$-1009]#,##0" sourceLinked="1"/>
        <c:majorTickMark val="none"/>
        <c:minorTickMark val="none"/>
        <c:tickLblPos val="nextTo"/>
        <c:crossAx val="167119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[pharmacy_otc_sales_data.xlsx]Pivot!Growing vs Degrowing</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t>Overall - Growing vs Degrowing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hade val="65000"/>
            </a:schemeClr>
          </a:solidFill>
          <a:ln w="19050">
            <a:solidFill>
              <a:schemeClr val="lt1"/>
            </a:solidFill>
          </a:ln>
          <a:effectLst/>
        </c:spPr>
        <c:dLbl>
          <c:idx val="0"/>
          <c:layout>
            <c:manualLayout>
              <c:x val="0.17812117235345581"/>
              <c:y val="-0.1880785897856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38418635170606"/>
                  <c:h val="0.15802165354330708"/>
                </c:manualLayout>
              </c15:layout>
            </c:ext>
          </c:extLst>
        </c:dLbl>
      </c:pivotFmt>
      <c:pivotFmt>
        <c:idx val="7"/>
        <c:spPr>
          <a:solidFill>
            <a:schemeClr val="accent1"/>
          </a:solidFill>
          <a:ln w="19050">
            <a:solidFill>
              <a:schemeClr val="lt1"/>
            </a:solidFill>
          </a:ln>
          <a:effectLst/>
        </c:spPr>
        <c:dLbl>
          <c:idx val="0"/>
          <c:layout>
            <c:manualLayout>
              <c:x val="-0.23784722222222221"/>
              <c:y val="0.170717478674540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49037620297463"/>
                  <c:h val="0.10943514873140857"/>
                </c:manualLayout>
              </c15:layout>
            </c:ext>
          </c:extLst>
        </c:dLbl>
      </c:pivotFmt>
      <c:pivotFmt>
        <c:idx val="8"/>
        <c:spPr>
          <a:solidFill>
            <a:schemeClr val="accent1">
              <a:tint val="65000"/>
            </a:schemeClr>
          </a:solidFill>
          <a:ln w="19050">
            <a:solidFill>
              <a:schemeClr val="lt1"/>
            </a:solidFill>
          </a:ln>
          <a:effectLst/>
        </c:spPr>
        <c:dLbl>
          <c:idx val="0"/>
          <c:layout>
            <c:manualLayout>
              <c:x val="-0.27951402559055116"/>
              <c:y val="-0.121527777777777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46415682414698"/>
                  <c:h val="0.14644757946923301"/>
                </c:manualLayout>
              </c15:layout>
            </c:ext>
          </c:extLst>
        </c:dLbl>
      </c:pivotFmt>
    </c:pivotFmts>
    <c:plotArea>
      <c:layout/>
      <c:doughnutChart>
        <c:varyColors val="1"/>
        <c:ser>
          <c:idx val="0"/>
          <c:order val="0"/>
          <c:tx>
            <c:strRef>
              <c:f>Pivot!$L$11:$L$12</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E43F-42A2-85A5-B462D9F58B3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43F-42A2-85A5-B462D9F58B31}"/>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E43F-42A2-85A5-B462D9F58B31}"/>
              </c:ext>
            </c:extLst>
          </c:dPt>
          <c:dLbls>
            <c:dLbl>
              <c:idx val="0"/>
              <c:layout>
                <c:manualLayout>
                  <c:x val="0.17812117235345581"/>
                  <c:y val="-0.1880785897856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38418635170606"/>
                      <c:h val="0.15802165354330708"/>
                    </c:manualLayout>
                  </c15:layout>
                </c:ext>
                <c:ext xmlns:c16="http://schemas.microsoft.com/office/drawing/2014/chart" uri="{C3380CC4-5D6E-409C-BE32-E72D297353CC}">
                  <c16:uniqueId val="{00000001-E43F-42A2-85A5-B462D9F58B31}"/>
                </c:ext>
              </c:extLst>
            </c:dLbl>
            <c:dLbl>
              <c:idx val="1"/>
              <c:layout>
                <c:manualLayout>
                  <c:x val="-0.23784722222222221"/>
                  <c:y val="0.17071747867454068"/>
                </c:manualLayout>
              </c:layout>
              <c:showLegendKey val="0"/>
              <c:showVal val="0"/>
              <c:showCatName val="1"/>
              <c:showSerName val="0"/>
              <c:showPercent val="1"/>
              <c:showBubbleSize val="0"/>
              <c:extLst>
                <c:ext xmlns:c15="http://schemas.microsoft.com/office/drawing/2012/chart" uri="{CE6537A1-D6FC-4f65-9D91-7224C49458BB}">
                  <c15:layout>
                    <c:manualLayout>
                      <c:w val="0.19449037620297463"/>
                      <c:h val="0.10943514873140857"/>
                    </c:manualLayout>
                  </c15:layout>
                </c:ext>
                <c:ext xmlns:c16="http://schemas.microsoft.com/office/drawing/2014/chart" uri="{C3380CC4-5D6E-409C-BE32-E72D297353CC}">
                  <c16:uniqueId val="{00000003-E43F-42A2-85A5-B462D9F58B31}"/>
                </c:ext>
              </c:extLst>
            </c:dLbl>
            <c:dLbl>
              <c:idx val="2"/>
              <c:layout>
                <c:manualLayout>
                  <c:x val="-0.27951402559055116"/>
                  <c:y val="-0.121527777777777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46415682414698"/>
                      <c:h val="0.14644757946923301"/>
                    </c:manualLayout>
                  </c15:layout>
                </c:ext>
                <c:ext xmlns:c16="http://schemas.microsoft.com/office/drawing/2014/chart" uri="{C3380CC4-5D6E-409C-BE32-E72D297353CC}">
                  <c16:uniqueId val="{00000005-E43F-42A2-85A5-B462D9F58B3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Pivot!$K$13:$K$15</c:f>
              <c:strCache>
                <c:ptCount val="3"/>
                <c:pt idx="0">
                  <c:v>Degrowing</c:v>
                </c:pt>
                <c:pt idx="1">
                  <c:v>Growing</c:v>
                </c:pt>
                <c:pt idx="2">
                  <c:v>No Growth</c:v>
                </c:pt>
              </c:strCache>
            </c:strRef>
          </c:cat>
          <c:val>
            <c:numRef>
              <c:f>Pivot!$L$13:$L$15</c:f>
              <c:numCache>
                <c:formatCode>General</c:formatCode>
                <c:ptCount val="3"/>
                <c:pt idx="0">
                  <c:v>107</c:v>
                </c:pt>
                <c:pt idx="1">
                  <c:v>194</c:v>
                </c:pt>
                <c:pt idx="2">
                  <c:v>32</c:v>
                </c:pt>
              </c:numCache>
            </c:numRef>
          </c:val>
          <c:extLst>
            <c:ext xmlns:c16="http://schemas.microsoft.com/office/drawing/2014/chart" uri="{C3380CC4-5D6E-409C-BE32-E72D297353CC}">
              <c16:uniqueId val="{00000006-E43F-42A2-85A5-B462D9F58B31}"/>
            </c:ext>
          </c:extLst>
        </c:ser>
        <c:dLbls>
          <c:showLegendKey val="0"/>
          <c:showVal val="0"/>
          <c:showCatName val="0"/>
          <c:showSerName val="0"/>
          <c:showPercent val="0"/>
          <c:showBubbleSize val="0"/>
          <c:showLeaderLines val="0"/>
        </c:dLbls>
        <c:firstSliceAng val="0"/>
        <c:holeSize val="3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[pharmacy_otc_sales_data.xlsx]Pivot!Monthly Sales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t>Monthly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Pivot!$L$17:$L$18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Pivot!$K$19:$K$26</c:f>
              <c:strCache>
                <c:ptCount val="8"/>
                <c:pt idx="0">
                  <c:v>Jan</c:v>
                </c:pt>
                <c:pt idx="1">
                  <c:v>Feb</c:v>
                </c:pt>
                <c:pt idx="2">
                  <c:v>Mar</c:v>
                </c:pt>
                <c:pt idx="3">
                  <c:v>Apr</c:v>
                </c:pt>
                <c:pt idx="4">
                  <c:v>May</c:v>
                </c:pt>
                <c:pt idx="5">
                  <c:v>Jun</c:v>
                </c:pt>
                <c:pt idx="6">
                  <c:v>Jul</c:v>
                </c:pt>
                <c:pt idx="7">
                  <c:v>Aug</c:v>
                </c:pt>
              </c:strCache>
            </c:strRef>
          </c:cat>
          <c:val>
            <c:numRef>
              <c:f>Pivot!$L$19:$L$26</c:f>
              <c:numCache>
                <c:formatCode>[$$-1009]#,##0</c:formatCode>
                <c:ptCount val="8"/>
                <c:pt idx="0">
                  <c:v>5536.3900000000012</c:v>
                </c:pt>
                <c:pt idx="1">
                  <c:v>7451.5000000000009</c:v>
                </c:pt>
                <c:pt idx="2">
                  <c:v>7062.15</c:v>
                </c:pt>
                <c:pt idx="3">
                  <c:v>7339.1499999999987</c:v>
                </c:pt>
                <c:pt idx="4">
                  <c:v>8884.9999999999982</c:v>
                </c:pt>
                <c:pt idx="5">
                  <c:v>7019.5599999999995</c:v>
                </c:pt>
                <c:pt idx="6">
                  <c:v>8754.4399999999987</c:v>
                </c:pt>
                <c:pt idx="7">
                  <c:v>6881.0999999999976</c:v>
                </c:pt>
              </c:numCache>
            </c:numRef>
          </c:val>
          <c:smooth val="0"/>
          <c:extLst>
            <c:ext xmlns:c16="http://schemas.microsoft.com/office/drawing/2014/chart" uri="{C3380CC4-5D6E-409C-BE32-E72D297353CC}">
              <c16:uniqueId val="{00000000-A091-4A6A-A950-0A18E5C1D5F5}"/>
            </c:ext>
          </c:extLst>
        </c:ser>
        <c:dLbls>
          <c:dLblPos val="t"/>
          <c:showLegendKey val="0"/>
          <c:showVal val="1"/>
          <c:showCatName val="0"/>
          <c:showSerName val="0"/>
          <c:showPercent val="0"/>
          <c:showBubbleSize val="0"/>
        </c:dLbls>
        <c:marker val="1"/>
        <c:smooth val="0"/>
        <c:axId val="1662236495"/>
        <c:axId val="1554112879"/>
      </c:lineChart>
      <c:catAx>
        <c:axId val="1662236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12879"/>
        <c:crosses val="autoZero"/>
        <c:auto val="1"/>
        <c:lblAlgn val="ctr"/>
        <c:lblOffset val="100"/>
        <c:noMultiLvlLbl val="0"/>
      </c:catAx>
      <c:valAx>
        <c:axId val="1554112879"/>
        <c:scaling>
          <c:orientation val="minMax"/>
        </c:scaling>
        <c:delete val="1"/>
        <c:axPos val="l"/>
        <c:numFmt formatCode="[$$-1009]#,##0" sourceLinked="1"/>
        <c:majorTickMark val="out"/>
        <c:minorTickMark val="none"/>
        <c:tickLblPos val="nextTo"/>
        <c:crossAx val="166223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[pharmacy_otc_sales_data.xlsx]Pivot!PivotTable6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Month-Wise</a:t>
            </a:r>
            <a:r>
              <a:rPr lang="en-US" b="1" baseline="0"/>
              <a:t> Growing vs Degrowing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685695538057741E-2"/>
          <c:y val="0.25756944444444446"/>
          <c:w val="0.95933152887139106"/>
          <c:h val="0.31151574803149606"/>
        </c:manualLayout>
      </c:layout>
      <c:barChart>
        <c:barDir val="col"/>
        <c:grouping val="clustered"/>
        <c:varyColors val="0"/>
        <c:ser>
          <c:idx val="0"/>
          <c:order val="0"/>
          <c:tx>
            <c:strRef>
              <c:f>Pivot!$M$28:$M$29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Pivot!$K$30:$L$44</c:f>
              <c:multiLvlStrCache>
                <c:ptCount val="15"/>
                <c:lvl>
                  <c:pt idx="0">
                    <c:v>No Growth</c:v>
                  </c:pt>
                  <c:pt idx="1">
                    <c:v>Degrowing</c:v>
                  </c:pt>
                  <c:pt idx="2">
                    <c:v>Growing</c:v>
                  </c:pt>
                  <c:pt idx="3">
                    <c:v>Degrowing</c:v>
                  </c:pt>
                  <c:pt idx="4">
                    <c:v>Growing</c:v>
                  </c:pt>
                  <c:pt idx="5">
                    <c:v>Degrowing</c:v>
                  </c:pt>
                  <c:pt idx="6">
                    <c:v>Growing</c:v>
                  </c:pt>
                  <c:pt idx="7">
                    <c:v>Degrowing</c:v>
                  </c:pt>
                  <c:pt idx="8">
                    <c:v>Growing</c:v>
                  </c:pt>
                  <c:pt idx="9">
                    <c:v>Degrowing</c:v>
                  </c:pt>
                  <c:pt idx="10">
                    <c:v>Growing</c:v>
                  </c:pt>
                  <c:pt idx="11">
                    <c:v>Degrowing</c:v>
                  </c:pt>
                  <c:pt idx="12">
                    <c:v>Growing</c:v>
                  </c:pt>
                  <c:pt idx="13">
                    <c:v>Degrowing</c:v>
                  </c:pt>
                  <c:pt idx="14">
                    <c:v>Growing</c:v>
                  </c:pt>
                </c:lvl>
                <c:lvl>
                  <c:pt idx="0">
                    <c:v>Jan</c:v>
                  </c:pt>
                  <c:pt idx="1">
                    <c:v>Feb</c:v>
                  </c:pt>
                  <c:pt idx="3">
                    <c:v>Mar</c:v>
                  </c:pt>
                  <c:pt idx="5">
                    <c:v>Apr</c:v>
                  </c:pt>
                  <c:pt idx="7">
                    <c:v>May</c:v>
                  </c:pt>
                  <c:pt idx="9">
                    <c:v>Jun</c:v>
                  </c:pt>
                  <c:pt idx="11">
                    <c:v>Jul</c:v>
                  </c:pt>
                  <c:pt idx="13">
                    <c:v>Aug</c:v>
                  </c:pt>
                </c:lvl>
              </c:multiLvlStrCache>
            </c:multiLvlStrRef>
          </c:cat>
          <c:val>
            <c:numRef>
              <c:f>Pivot!$M$30:$M$44</c:f>
              <c:numCache>
                <c:formatCode>General</c:formatCode>
                <c:ptCount val="15"/>
                <c:pt idx="0">
                  <c:v>7</c:v>
                </c:pt>
                <c:pt idx="1">
                  <c:v>3</c:v>
                </c:pt>
                <c:pt idx="2">
                  <c:v>4</c:v>
                </c:pt>
                <c:pt idx="3">
                  <c:v>4</c:v>
                </c:pt>
                <c:pt idx="4">
                  <c:v>3</c:v>
                </c:pt>
                <c:pt idx="5">
                  <c:v>3</c:v>
                </c:pt>
                <c:pt idx="6">
                  <c:v>4</c:v>
                </c:pt>
                <c:pt idx="7">
                  <c:v>3</c:v>
                </c:pt>
                <c:pt idx="8">
                  <c:v>4</c:v>
                </c:pt>
                <c:pt idx="9">
                  <c:v>4</c:v>
                </c:pt>
                <c:pt idx="10">
                  <c:v>3</c:v>
                </c:pt>
                <c:pt idx="11">
                  <c:v>2</c:v>
                </c:pt>
                <c:pt idx="12">
                  <c:v>5</c:v>
                </c:pt>
                <c:pt idx="13">
                  <c:v>4</c:v>
                </c:pt>
                <c:pt idx="14">
                  <c:v>3</c:v>
                </c:pt>
              </c:numCache>
            </c:numRef>
          </c:val>
          <c:extLst>
            <c:ext xmlns:c16="http://schemas.microsoft.com/office/drawing/2014/chart" uri="{C3380CC4-5D6E-409C-BE32-E72D297353CC}">
              <c16:uniqueId val="{00000000-9087-4D4F-8FBD-12866395FE74}"/>
            </c:ext>
          </c:extLst>
        </c:ser>
        <c:dLbls>
          <c:dLblPos val="outEnd"/>
          <c:showLegendKey val="0"/>
          <c:showVal val="1"/>
          <c:showCatName val="0"/>
          <c:showSerName val="0"/>
          <c:showPercent val="0"/>
          <c:showBubbleSize val="0"/>
        </c:dLbls>
        <c:gapWidth val="219"/>
        <c:overlap val="-27"/>
        <c:axId val="281685615"/>
        <c:axId val="281686575"/>
      </c:barChart>
      <c:catAx>
        <c:axId val="28168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81686575"/>
        <c:crosses val="autoZero"/>
        <c:auto val="1"/>
        <c:lblAlgn val="ctr"/>
        <c:lblOffset val="100"/>
        <c:noMultiLvlLbl val="0"/>
      </c:catAx>
      <c:valAx>
        <c:axId val="281686575"/>
        <c:scaling>
          <c:orientation val="minMax"/>
        </c:scaling>
        <c:delete val="1"/>
        <c:axPos val="l"/>
        <c:numFmt formatCode="General" sourceLinked="1"/>
        <c:majorTickMark val="none"/>
        <c:minorTickMark val="none"/>
        <c:tickLblPos val="nextTo"/>
        <c:crossAx val="28168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0</xdr:colOff>
      <xdr:row>0</xdr:row>
      <xdr:rowOff>0</xdr:rowOff>
    </xdr:from>
    <xdr:to>
      <xdr:col>23</xdr:col>
      <xdr:colOff>0</xdr:colOff>
      <xdr:row>12</xdr:row>
      <xdr:rowOff>0</xdr:rowOff>
    </xdr:to>
    <xdr:graphicFrame macro="">
      <xdr:nvGraphicFramePr>
        <xdr:cNvPr id="2" name="Chart 1">
          <a:extLst>
            <a:ext uri="{FF2B5EF4-FFF2-40B4-BE49-F238E27FC236}">
              <a16:creationId xmlns:a16="http://schemas.microsoft.com/office/drawing/2014/main" id="{FEB9B6CC-87E6-4A8F-B8BE-6B5710F1A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0</xdr:rowOff>
    </xdr:from>
    <xdr:to>
      <xdr:col>13</xdr:col>
      <xdr:colOff>0</xdr:colOff>
      <xdr:row>29</xdr:row>
      <xdr:rowOff>0</xdr:rowOff>
    </xdr:to>
    <xdr:graphicFrame macro="">
      <xdr:nvGraphicFramePr>
        <xdr:cNvPr id="3" name="Chart 2">
          <a:extLst>
            <a:ext uri="{FF2B5EF4-FFF2-40B4-BE49-F238E27FC236}">
              <a16:creationId xmlns:a16="http://schemas.microsoft.com/office/drawing/2014/main" id="{E52B9630-9FEE-4962-A42E-086DCDD33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7</xdr:col>
      <xdr:colOff>0</xdr:colOff>
      <xdr:row>16</xdr:row>
      <xdr:rowOff>0</xdr:rowOff>
    </xdr:to>
    <xdr:graphicFrame macro="">
      <xdr:nvGraphicFramePr>
        <xdr:cNvPr id="4" name="Chart 3">
          <a:extLst>
            <a:ext uri="{FF2B5EF4-FFF2-40B4-BE49-F238E27FC236}">
              <a16:creationId xmlns:a16="http://schemas.microsoft.com/office/drawing/2014/main" id="{EAF9407F-C8F0-48D6-A3F9-7E7EC2F66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0</xdr:row>
      <xdr:rowOff>0</xdr:rowOff>
    </xdr:from>
    <xdr:to>
      <xdr:col>13</xdr:col>
      <xdr:colOff>0</xdr:colOff>
      <xdr:row>16</xdr:row>
      <xdr:rowOff>0</xdr:rowOff>
    </xdr:to>
    <xdr:graphicFrame macro="">
      <xdr:nvGraphicFramePr>
        <xdr:cNvPr id="5" name="Chart 4">
          <a:extLst>
            <a:ext uri="{FF2B5EF4-FFF2-40B4-BE49-F238E27FC236}">
              <a16:creationId xmlns:a16="http://schemas.microsoft.com/office/drawing/2014/main" id="{30247A83-6B21-4C7D-9F9C-C076630C9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22</xdr:row>
      <xdr:rowOff>0</xdr:rowOff>
    </xdr:from>
    <xdr:to>
      <xdr:col>23</xdr:col>
      <xdr:colOff>0</xdr:colOff>
      <xdr:row>29</xdr:row>
      <xdr:rowOff>0</xdr:rowOff>
    </xdr:to>
    <xdr:graphicFrame macro="">
      <xdr:nvGraphicFramePr>
        <xdr:cNvPr id="6" name="Chart 5">
          <a:extLst>
            <a:ext uri="{FF2B5EF4-FFF2-40B4-BE49-F238E27FC236}">
              <a16:creationId xmlns:a16="http://schemas.microsoft.com/office/drawing/2014/main" id="{37AA0D93-4FD1-4020-A477-074501C67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12</xdr:row>
      <xdr:rowOff>0</xdr:rowOff>
    </xdr:from>
    <xdr:to>
      <xdr:col>23</xdr:col>
      <xdr:colOff>0</xdr:colOff>
      <xdr:row>22</xdr:row>
      <xdr:rowOff>0</xdr:rowOff>
    </xdr:to>
    <xdr:graphicFrame macro="">
      <xdr:nvGraphicFramePr>
        <xdr:cNvPr id="7" name="Chart 6">
          <a:extLst>
            <a:ext uri="{FF2B5EF4-FFF2-40B4-BE49-F238E27FC236}">
              <a16:creationId xmlns:a16="http://schemas.microsoft.com/office/drawing/2014/main" id="{4D42CF69-0141-43DB-8165-FE90DBA6A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0</xdr:row>
      <xdr:rowOff>0</xdr:rowOff>
    </xdr:from>
    <xdr:to>
      <xdr:col>18</xdr:col>
      <xdr:colOff>0</xdr:colOff>
      <xdr:row>10</xdr:row>
      <xdr:rowOff>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0B370566-35BE-CC29-A2F1-FECCC9E78B6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788588" y="0"/>
              <a:ext cx="1828800" cy="179294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10</xdr:row>
      <xdr:rowOff>0</xdr:rowOff>
    </xdr:from>
    <xdr:to>
      <xdr:col>18</xdr:col>
      <xdr:colOff>0</xdr:colOff>
      <xdr:row>20</xdr:row>
      <xdr:rowOff>0</xdr:rowOff>
    </xdr:to>
    <mc:AlternateContent xmlns:mc="http://schemas.openxmlformats.org/markup-compatibility/2006" xmlns:a14="http://schemas.microsoft.com/office/drawing/2010/main">
      <mc:Choice Requires="a14">
        <xdr:graphicFrame macro="">
          <xdr:nvGraphicFramePr>
            <xdr:cNvPr id="3" name="Sales Person">
              <a:extLst>
                <a:ext uri="{FF2B5EF4-FFF2-40B4-BE49-F238E27FC236}">
                  <a16:creationId xmlns:a16="http://schemas.microsoft.com/office/drawing/2014/main" id="{604A1BE2-A3A6-4C2E-8C49-A26279FF71A1}"/>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1788588" y="1792941"/>
              <a:ext cx="1828800" cy="179294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31</xdr:row>
      <xdr:rowOff>0</xdr:rowOff>
    </xdr:from>
    <xdr:to>
      <xdr:col>18</xdr:col>
      <xdr:colOff>0</xdr:colOff>
      <xdr:row>39</xdr:row>
      <xdr:rowOff>0</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F486A78B-55B4-212E-FA37-DE14CC5BD20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788588" y="5558118"/>
              <a:ext cx="1828800" cy="143435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20</xdr:row>
      <xdr:rowOff>1</xdr:rowOff>
    </xdr:from>
    <xdr:to>
      <xdr:col>18</xdr:col>
      <xdr:colOff>0</xdr:colOff>
      <xdr:row>31</xdr:row>
      <xdr:rowOff>1</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7DEA67AB-05BA-ADB5-D2AE-F3C5BEFED6F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788588" y="3585883"/>
              <a:ext cx="1828800" cy="197223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eet Tandel" refreshedDate="46112.848215046295" createdVersion="8" refreshedVersion="8" minRefreshableVersion="3" recordCount="333" xr:uid="{A3A039CB-507F-498B-88CB-BCAED2CD71FA}">
  <cacheSource type="worksheet">
    <worksheetSource ref="A1:Q334" sheet="Master Data"/>
  </cacheSource>
  <cacheFields count="19">
    <cacheField name="Date" numFmtId="14">
      <sharedItems containsSemiMixedTypes="0" containsNonDate="0" containsDate="1" containsString="0" minDate="2022-01-02T00:00:00" maxDate="2022-09-01T00:00:00" count="179">
        <d v="2022-02-06T00:00:00"/>
        <d v="2022-02-05T00:00:00"/>
        <d v="2022-02-19T00:00:00"/>
        <d v="2022-03-28T00:00:00"/>
        <d v="2022-01-17T00:00:00"/>
        <d v="2022-02-09T00:00:00"/>
        <d v="2022-06-30T00:00:00"/>
        <d v="2022-07-25T00:00:00"/>
        <d v="2022-03-20T00:00:00"/>
        <d v="2022-01-24T00:00:00"/>
        <d v="2022-04-27T00:00:00"/>
        <d v="2022-02-18T00:00:00"/>
        <d v="2022-06-26T00:00:00"/>
        <d v="2022-06-19T00:00:00"/>
        <d v="2022-06-03T00:00:00"/>
        <d v="2022-04-05T00:00:00"/>
        <d v="2022-04-17T00:00:00"/>
        <d v="2022-02-11T00:00:00"/>
        <d v="2022-01-18T00:00:00"/>
        <d v="2022-05-30T00:00:00"/>
        <d v="2022-06-18T00:00:00"/>
        <d v="2022-07-06T00:00:00"/>
        <d v="2022-05-25T00:00:00"/>
        <d v="2022-04-26T00:00:00"/>
        <d v="2022-07-01T00:00:00"/>
        <d v="2022-08-28T00:00:00"/>
        <d v="2022-07-08T00:00:00"/>
        <d v="2022-02-03T00:00:00"/>
        <d v="2022-03-17T00:00:00"/>
        <d v="2022-06-25T00:00:00"/>
        <d v="2022-06-11T00:00:00"/>
        <d v="2022-03-29T00:00:00"/>
        <d v="2022-03-26T00:00:00"/>
        <d v="2022-07-15T00:00:00"/>
        <d v="2022-07-16T00:00:00"/>
        <d v="2022-05-03T00:00:00"/>
        <d v="2022-06-17T00:00:00"/>
        <d v="2022-04-13T00:00:00"/>
        <d v="2022-07-05T00:00:00"/>
        <d v="2022-08-06T00:00:00"/>
        <d v="2022-04-20T00:00:00"/>
        <d v="2022-05-15T00:00:00"/>
        <d v="2022-01-07T00:00:00"/>
        <d v="2022-05-29T00:00:00"/>
        <d v="2022-03-10T00:00:00"/>
        <d v="2022-05-09T00:00:00"/>
        <d v="2022-07-11T00:00:00"/>
        <d v="2022-04-11T00:00:00"/>
        <d v="2022-01-02T00:00:00"/>
        <d v="2022-06-22T00:00:00"/>
        <d v="2022-08-10T00:00:00"/>
        <d v="2022-07-03T00:00:00"/>
        <d v="2022-03-21T00:00:00"/>
        <d v="2022-04-16T00:00:00"/>
        <d v="2022-08-26T00:00:00"/>
        <d v="2022-04-22T00:00:00"/>
        <d v="2022-06-28T00:00:00"/>
        <d v="2022-06-15T00:00:00"/>
        <d v="2022-04-30T00:00:00"/>
        <d v="2022-01-15T00:00:00"/>
        <d v="2022-08-05T00:00:00"/>
        <d v="2022-05-23T00:00:00"/>
        <d v="2022-04-19T00:00:00"/>
        <d v="2022-08-31T00:00:00"/>
        <d v="2022-08-23T00:00:00"/>
        <d v="2022-03-07T00:00:00"/>
        <d v="2022-02-28T00:00:00"/>
        <d v="2022-07-31T00:00:00"/>
        <d v="2022-05-26T00:00:00"/>
        <d v="2022-02-25T00:00:00"/>
        <d v="2022-06-21T00:00:00"/>
        <d v="2022-08-02T00:00:00"/>
        <d v="2022-05-21T00:00:00"/>
        <d v="2022-03-13T00:00:00"/>
        <d v="2022-06-10T00:00:00"/>
        <d v="2022-08-11T00:00:00"/>
        <d v="2022-06-06T00:00:00"/>
        <d v="2022-07-20T00:00:00"/>
        <d v="2022-02-27T00:00:00"/>
        <d v="2022-05-12T00:00:00"/>
        <d v="2022-03-11T00:00:00"/>
        <d v="2022-05-28T00:00:00"/>
        <d v="2022-01-10T00:00:00"/>
        <d v="2022-01-21T00:00:00"/>
        <d v="2022-05-20T00:00:00"/>
        <d v="2022-07-09T00:00:00"/>
        <d v="2022-05-31T00:00:00"/>
        <d v="2022-05-24T00:00:00"/>
        <d v="2022-04-23T00:00:00"/>
        <d v="2022-03-18T00:00:00"/>
        <d v="2022-08-25T00:00:00"/>
        <d v="2022-03-04T00:00:00"/>
        <d v="2022-03-24T00:00:00"/>
        <d v="2022-03-27T00:00:00"/>
        <d v="2022-05-18T00:00:00"/>
        <d v="2022-05-14T00:00:00"/>
        <d v="2022-02-08T00:00:00"/>
        <d v="2022-02-20T00:00:00"/>
        <d v="2022-08-21T00:00:00"/>
        <d v="2022-07-28T00:00:00"/>
        <d v="2022-05-19T00:00:00"/>
        <d v="2022-08-14T00:00:00"/>
        <d v="2022-04-03T00:00:00"/>
        <d v="2022-06-27T00:00:00"/>
        <d v="2022-01-29T00:00:00"/>
        <d v="2022-07-24T00:00:00"/>
        <d v="2022-03-22T00:00:00"/>
        <d v="2022-05-05T00:00:00"/>
        <d v="2022-07-18T00:00:00"/>
        <d v="2022-07-29T00:00:00"/>
        <d v="2022-04-14T00:00:00"/>
        <d v="2022-06-23T00:00:00"/>
        <d v="2022-06-05T00:00:00"/>
        <d v="2022-01-19T00:00:00"/>
        <d v="2022-05-06T00:00:00"/>
        <d v="2022-03-02T00:00:00"/>
        <d v="2022-02-23T00:00:00"/>
        <d v="2022-07-17T00:00:00"/>
        <d v="2022-04-01T00:00:00"/>
        <d v="2022-08-01T00:00:00"/>
        <d v="2022-02-01T00:00:00"/>
        <d v="2022-02-21T00:00:00"/>
        <d v="2022-04-24T00:00:00"/>
        <d v="2022-06-16T00:00:00"/>
        <d v="2022-07-14T00:00:00"/>
        <d v="2022-07-23T00:00:00"/>
        <d v="2022-07-02T00:00:00"/>
        <d v="2022-03-25T00:00:00"/>
        <d v="2022-01-06T00:00:00"/>
        <d v="2022-07-07T00:00:00"/>
        <d v="2022-05-27T00:00:00"/>
        <d v="2022-07-27T00:00:00"/>
        <d v="2022-05-17T00:00:00"/>
        <d v="2022-01-11T00:00:00"/>
        <d v="2022-06-09T00:00:00"/>
        <d v="2022-06-02T00:00:00"/>
        <d v="2022-07-10T00:00:00"/>
        <d v="2022-02-14T00:00:00"/>
        <d v="2022-05-04T00:00:00"/>
        <d v="2022-08-17T00:00:00"/>
        <d v="2022-01-08T00:00:00"/>
        <d v="2022-04-08T00:00:00"/>
        <d v="2022-08-04T00:00:00"/>
        <d v="2022-08-19T00:00:00"/>
        <d v="2022-07-13T00:00:00"/>
        <d v="2022-08-13T00:00:00"/>
        <d v="2022-08-27T00:00:00"/>
        <d v="2022-04-29T00:00:00"/>
        <d v="2022-06-07T00:00:00"/>
        <d v="2022-01-31T00:00:00"/>
        <d v="2022-01-26T00:00:00"/>
        <d v="2022-01-14T00:00:00"/>
        <d v="2022-03-23T00:00:00"/>
        <d v="2022-08-03T00:00:00"/>
        <d v="2022-01-28T00:00:00"/>
        <d v="2022-01-16T00:00:00"/>
        <d v="2022-02-02T00:00:00"/>
        <d v="2022-05-02T00:00:00"/>
        <d v="2022-05-13T00:00:00"/>
        <d v="2022-02-12T00:00:00"/>
        <d v="2022-03-14T00:00:00"/>
        <d v="2022-03-03T00:00:00"/>
        <d v="2022-01-13T00:00:00"/>
        <d v="2022-01-27T00:00:00"/>
        <d v="2022-02-13T00:00:00"/>
        <d v="2022-02-16T00:00:00"/>
        <d v="2022-08-22T00:00:00"/>
        <d v="2022-03-16T00:00:00"/>
        <d v="2022-07-26T00:00:00"/>
        <d v="2022-08-12T00:00:00"/>
        <d v="2022-06-04T00:00:00"/>
        <d v="2022-01-22T00:00:00"/>
        <d v="2022-07-22T00:00:00"/>
        <d v="2022-05-16T00:00:00"/>
        <d v="2022-03-09T00:00:00"/>
        <d v="2022-04-25T00:00:00"/>
        <d v="2022-08-29T00:00:00"/>
        <d v="2022-04-12T00:00:00"/>
        <d v="2022-01-05T00:00:00"/>
      </sharedItems>
      <fieldGroup par="18"/>
    </cacheField>
    <cacheField name="Product" numFmtId="0">
      <sharedItems count="7">
        <s v="Pain Relief Tablets"/>
        <s v="Antiseptic Cream"/>
        <s v="Cough Syrup"/>
        <s v="Digestive Enzyme"/>
        <s v="Eye Drops"/>
        <s v="Nasal Spray"/>
        <s v="Allergy Pills"/>
      </sharedItems>
    </cacheField>
    <cacheField name="Sales Person" numFmtId="0">
      <sharedItems count="7">
        <s v="Divya Mehra"/>
        <s v="Nikhil Batra"/>
        <s v="Ritika Shah"/>
        <s v="Priya Singh"/>
        <s v="Sneha Iyer"/>
        <s v="Rajesh Patel"/>
        <s v="Aman Verma"/>
      </sharedItems>
    </cacheField>
    <cacheField name="Boxes Shipped" numFmtId="0">
      <sharedItems containsSemiMixedTypes="0" containsString="0" containsNumber="1" containsInteger="1" minValue="1" maxValue="20"/>
    </cacheField>
    <cacheField name="Amount ($)" numFmtId="0">
      <sharedItems containsSemiMixedTypes="0" containsString="0" containsNumber="1" minValue="8.09" maxValue="494.08"/>
    </cacheField>
    <cacheField name="Country" numFmtId="0">
      <sharedItems count="5">
        <s v="Australia"/>
        <s v="Canada"/>
        <s v="UK"/>
        <s v="USA"/>
        <s v="India"/>
      </sharedItems>
    </cacheField>
    <cacheField name="Year" numFmtId="0">
      <sharedItems containsSemiMixedTypes="0" containsString="0" containsNumber="1" containsInteger="1" minValue="2022" maxValue="2022"/>
    </cacheField>
    <cacheField name="Month" numFmtId="0">
      <sharedItems count="8">
        <s v="Feb"/>
        <s v="Mar"/>
        <s v="Jan"/>
        <s v="Jun"/>
        <s v="Jul"/>
        <s v="Apr"/>
        <s v="May"/>
        <s v="Aug"/>
      </sharedItems>
    </cacheField>
    <cacheField name="Month No" numFmtId="1">
      <sharedItems containsSemiMixedTypes="0" containsString="0" containsNumber="1" containsInteger="1" minValue="1" maxValue="8"/>
    </cacheField>
    <cacheField name="Month Start" numFmtId="14">
      <sharedItems containsSemiMixedTypes="0" containsNonDate="0" containsDate="1" containsString="0" minDate="2022-01-01T00:00:00" maxDate="2022-08-02T00:00:00"/>
    </cacheField>
    <cacheField name="Year-Month" numFmtId="0">
      <sharedItems count="8">
        <s v="2022-Feb"/>
        <s v="2022-Mar"/>
        <s v="2022-Jan"/>
        <s v="2022-Jun"/>
        <s v="2022-Jul"/>
        <s v="2022-Apr"/>
        <s v="2022-May"/>
        <s v="2022-Aug"/>
      </sharedItems>
    </cacheField>
    <cacheField name="Monthly Sales" numFmtId="1">
      <sharedItems containsSemiMixedTypes="0" containsString="0" containsNumber="1" minValue="46.75" maxValue="2645.1499999999996"/>
    </cacheField>
    <cacheField name="Monthly Target" numFmtId="1">
      <sharedItems containsSemiMixedTypes="0" containsString="0" containsNumber="1" minValue="591.22648148148176" maxValue="7783.74"/>
    </cacheField>
    <cacheField name="Target Achievement %" numFmtId="9">
      <sharedItems containsSemiMixedTypes="0" containsString="0" containsNumber="1" minValue="6.0061101732586135E-3" maxValue="3.4584531428048435"/>
    </cacheField>
    <cacheField name="Previous Month Sales" numFmtId="1">
      <sharedItems containsSemiMixedTypes="0" containsString="0" containsNumber="1" minValue="0" maxValue="2645.1499999999996"/>
    </cacheField>
    <cacheField name="MoM Growth %" numFmtId="9">
      <sharedItems containsSemiMixedTypes="0" containsString="0" containsNumber="1" minValue="-0.96348939825842472" maxValue="21.597005347593583"/>
    </cacheField>
    <cacheField name="Status" numFmtId="0">
      <sharedItems count="3">
        <s v="Growing"/>
        <s v="Degrowing"/>
        <s v="No Growth"/>
      </sharedItems>
    </cacheField>
    <cacheField name="Days (Date)" numFmtId="0" databaseField="0">
      <fieldGroup base="0">
        <rangePr groupBy="days" startDate="2022-01-02T00:00:00" endDate="2022-09-01T00:00:00"/>
        <groupItems count="368">
          <s v="&lt;02-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Months (Date)" numFmtId="0" databaseField="0">
      <fieldGroup base="0">
        <rangePr groupBy="months" startDate="2022-01-02T00:00:00" endDate="2022-09-01T00:00:00"/>
        <groupItems count="14">
          <s v="&lt;02-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pivotCacheId="16488507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eet Tandel" refreshedDate="46112.850977430557" createdVersion="8" refreshedVersion="8" minRefreshableVersion="3" recordCount="333" xr:uid="{B33422D9-2A71-455D-B57B-C034C3A643C0}">
  <cacheSource type="worksheet">
    <worksheetSource ref="A1:R334" sheet="Master Data"/>
  </cacheSource>
  <cacheFields count="20">
    <cacheField name="Date" numFmtId="14">
      <sharedItems containsSemiMixedTypes="0" containsNonDate="0" containsDate="1" containsString="0" minDate="2022-01-02T00:00:00" maxDate="2022-09-01T00:00:00" count="179">
        <d v="2022-02-06T00:00:00"/>
        <d v="2022-02-05T00:00:00"/>
        <d v="2022-02-19T00:00:00"/>
        <d v="2022-03-28T00:00:00"/>
        <d v="2022-01-17T00:00:00"/>
        <d v="2022-02-09T00:00:00"/>
        <d v="2022-06-30T00:00:00"/>
        <d v="2022-07-25T00:00:00"/>
        <d v="2022-03-20T00:00:00"/>
        <d v="2022-01-24T00:00:00"/>
        <d v="2022-04-27T00:00:00"/>
        <d v="2022-02-18T00:00:00"/>
        <d v="2022-06-26T00:00:00"/>
        <d v="2022-06-19T00:00:00"/>
        <d v="2022-06-03T00:00:00"/>
        <d v="2022-04-05T00:00:00"/>
        <d v="2022-04-17T00:00:00"/>
        <d v="2022-02-11T00:00:00"/>
        <d v="2022-01-18T00:00:00"/>
        <d v="2022-05-30T00:00:00"/>
        <d v="2022-06-18T00:00:00"/>
        <d v="2022-07-06T00:00:00"/>
        <d v="2022-05-25T00:00:00"/>
        <d v="2022-04-26T00:00:00"/>
        <d v="2022-07-01T00:00:00"/>
        <d v="2022-08-28T00:00:00"/>
        <d v="2022-07-08T00:00:00"/>
        <d v="2022-02-03T00:00:00"/>
        <d v="2022-03-17T00:00:00"/>
        <d v="2022-06-25T00:00:00"/>
        <d v="2022-06-11T00:00:00"/>
        <d v="2022-03-29T00:00:00"/>
        <d v="2022-03-26T00:00:00"/>
        <d v="2022-07-15T00:00:00"/>
        <d v="2022-07-16T00:00:00"/>
        <d v="2022-05-03T00:00:00"/>
        <d v="2022-06-17T00:00:00"/>
        <d v="2022-04-13T00:00:00"/>
        <d v="2022-07-05T00:00:00"/>
        <d v="2022-08-06T00:00:00"/>
        <d v="2022-04-20T00:00:00"/>
        <d v="2022-05-15T00:00:00"/>
        <d v="2022-01-07T00:00:00"/>
        <d v="2022-05-29T00:00:00"/>
        <d v="2022-03-10T00:00:00"/>
        <d v="2022-05-09T00:00:00"/>
        <d v="2022-07-11T00:00:00"/>
        <d v="2022-04-11T00:00:00"/>
        <d v="2022-01-02T00:00:00"/>
        <d v="2022-06-22T00:00:00"/>
        <d v="2022-08-10T00:00:00"/>
        <d v="2022-07-03T00:00:00"/>
        <d v="2022-03-21T00:00:00"/>
        <d v="2022-04-16T00:00:00"/>
        <d v="2022-08-26T00:00:00"/>
        <d v="2022-04-22T00:00:00"/>
        <d v="2022-06-28T00:00:00"/>
        <d v="2022-06-15T00:00:00"/>
        <d v="2022-04-30T00:00:00"/>
        <d v="2022-01-15T00:00:00"/>
        <d v="2022-08-05T00:00:00"/>
        <d v="2022-05-23T00:00:00"/>
        <d v="2022-04-19T00:00:00"/>
        <d v="2022-08-31T00:00:00"/>
        <d v="2022-08-23T00:00:00"/>
        <d v="2022-03-07T00:00:00"/>
        <d v="2022-02-28T00:00:00"/>
        <d v="2022-07-31T00:00:00"/>
        <d v="2022-05-26T00:00:00"/>
        <d v="2022-02-25T00:00:00"/>
        <d v="2022-06-21T00:00:00"/>
        <d v="2022-08-02T00:00:00"/>
        <d v="2022-05-21T00:00:00"/>
        <d v="2022-03-13T00:00:00"/>
        <d v="2022-06-10T00:00:00"/>
        <d v="2022-08-11T00:00:00"/>
        <d v="2022-06-06T00:00:00"/>
        <d v="2022-07-20T00:00:00"/>
        <d v="2022-02-27T00:00:00"/>
        <d v="2022-05-12T00:00:00"/>
        <d v="2022-03-11T00:00:00"/>
        <d v="2022-05-28T00:00:00"/>
        <d v="2022-01-10T00:00:00"/>
        <d v="2022-01-21T00:00:00"/>
        <d v="2022-05-20T00:00:00"/>
        <d v="2022-07-09T00:00:00"/>
        <d v="2022-05-31T00:00:00"/>
        <d v="2022-05-24T00:00:00"/>
        <d v="2022-04-23T00:00:00"/>
        <d v="2022-03-18T00:00:00"/>
        <d v="2022-08-25T00:00:00"/>
        <d v="2022-03-04T00:00:00"/>
        <d v="2022-03-24T00:00:00"/>
        <d v="2022-03-27T00:00:00"/>
        <d v="2022-05-18T00:00:00"/>
        <d v="2022-05-14T00:00:00"/>
        <d v="2022-02-08T00:00:00"/>
        <d v="2022-02-20T00:00:00"/>
        <d v="2022-08-21T00:00:00"/>
        <d v="2022-07-28T00:00:00"/>
        <d v="2022-05-19T00:00:00"/>
        <d v="2022-08-14T00:00:00"/>
        <d v="2022-04-03T00:00:00"/>
        <d v="2022-06-27T00:00:00"/>
        <d v="2022-01-29T00:00:00"/>
        <d v="2022-07-24T00:00:00"/>
        <d v="2022-03-22T00:00:00"/>
        <d v="2022-05-05T00:00:00"/>
        <d v="2022-07-18T00:00:00"/>
        <d v="2022-07-29T00:00:00"/>
        <d v="2022-04-14T00:00:00"/>
        <d v="2022-06-23T00:00:00"/>
        <d v="2022-06-05T00:00:00"/>
        <d v="2022-01-19T00:00:00"/>
        <d v="2022-05-06T00:00:00"/>
        <d v="2022-03-02T00:00:00"/>
        <d v="2022-02-23T00:00:00"/>
        <d v="2022-07-17T00:00:00"/>
        <d v="2022-04-01T00:00:00"/>
        <d v="2022-08-01T00:00:00"/>
        <d v="2022-02-01T00:00:00"/>
        <d v="2022-02-21T00:00:00"/>
        <d v="2022-04-24T00:00:00"/>
        <d v="2022-06-16T00:00:00"/>
        <d v="2022-07-14T00:00:00"/>
        <d v="2022-07-23T00:00:00"/>
        <d v="2022-07-02T00:00:00"/>
        <d v="2022-03-25T00:00:00"/>
        <d v="2022-01-06T00:00:00"/>
        <d v="2022-07-07T00:00:00"/>
        <d v="2022-05-27T00:00:00"/>
        <d v="2022-07-27T00:00:00"/>
        <d v="2022-05-17T00:00:00"/>
        <d v="2022-01-11T00:00:00"/>
        <d v="2022-06-09T00:00:00"/>
        <d v="2022-06-02T00:00:00"/>
        <d v="2022-07-10T00:00:00"/>
        <d v="2022-02-14T00:00:00"/>
        <d v="2022-05-04T00:00:00"/>
        <d v="2022-08-17T00:00:00"/>
        <d v="2022-01-08T00:00:00"/>
        <d v="2022-04-08T00:00:00"/>
        <d v="2022-08-04T00:00:00"/>
        <d v="2022-08-19T00:00:00"/>
        <d v="2022-07-13T00:00:00"/>
        <d v="2022-08-13T00:00:00"/>
        <d v="2022-08-27T00:00:00"/>
        <d v="2022-04-29T00:00:00"/>
        <d v="2022-06-07T00:00:00"/>
        <d v="2022-01-31T00:00:00"/>
        <d v="2022-01-26T00:00:00"/>
        <d v="2022-01-14T00:00:00"/>
        <d v="2022-03-23T00:00:00"/>
        <d v="2022-08-03T00:00:00"/>
        <d v="2022-01-28T00:00:00"/>
        <d v="2022-01-16T00:00:00"/>
        <d v="2022-02-02T00:00:00"/>
        <d v="2022-05-02T00:00:00"/>
        <d v="2022-05-13T00:00:00"/>
        <d v="2022-02-12T00:00:00"/>
        <d v="2022-03-14T00:00:00"/>
        <d v="2022-03-03T00:00:00"/>
        <d v="2022-01-13T00:00:00"/>
        <d v="2022-01-27T00:00:00"/>
        <d v="2022-02-13T00:00:00"/>
        <d v="2022-02-16T00:00:00"/>
        <d v="2022-08-22T00:00:00"/>
        <d v="2022-03-16T00:00:00"/>
        <d v="2022-07-26T00:00:00"/>
        <d v="2022-08-12T00:00:00"/>
        <d v="2022-06-04T00:00:00"/>
        <d v="2022-01-22T00:00:00"/>
        <d v="2022-07-22T00:00:00"/>
        <d v="2022-05-16T00:00:00"/>
        <d v="2022-03-09T00:00:00"/>
        <d v="2022-04-25T00:00:00"/>
        <d v="2022-08-29T00:00:00"/>
        <d v="2022-04-12T00:00:00"/>
        <d v="2022-01-05T00:00:00"/>
      </sharedItems>
      <fieldGroup par="19"/>
    </cacheField>
    <cacheField name="Product" numFmtId="0">
      <sharedItems/>
    </cacheField>
    <cacheField name="Sales Person" numFmtId="0">
      <sharedItems count="7">
        <s v="Divya Mehra"/>
        <s v="Nikhil Batra"/>
        <s v="Ritika Shah"/>
        <s v="Priya Singh"/>
        <s v="Sneha Iyer"/>
        <s v="Rajesh Patel"/>
        <s v="Aman Verma"/>
      </sharedItems>
    </cacheField>
    <cacheField name="Boxes Shipped" numFmtId="0">
      <sharedItems containsSemiMixedTypes="0" containsString="0" containsNumber="1" containsInteger="1" minValue="1" maxValue="20"/>
    </cacheField>
    <cacheField name="Amount ($)" numFmtId="0">
      <sharedItems containsSemiMixedTypes="0" containsString="0" containsNumber="1" minValue="8.09" maxValue="494.08"/>
    </cacheField>
    <cacheField name="Country" numFmtId="0">
      <sharedItems/>
    </cacheField>
    <cacheField name="Year" numFmtId="0">
      <sharedItems containsSemiMixedTypes="0" containsString="0" containsNumber="1" containsInteger="1" minValue="2022" maxValue="2022"/>
    </cacheField>
    <cacheField name="Month" numFmtId="0">
      <sharedItems count="8">
        <s v="Feb"/>
        <s v="Mar"/>
        <s v="Jan"/>
        <s v="Jun"/>
        <s v="Jul"/>
        <s v="Apr"/>
        <s v="May"/>
        <s v="Aug"/>
      </sharedItems>
    </cacheField>
    <cacheField name="Month No" numFmtId="1">
      <sharedItems containsSemiMixedTypes="0" containsString="0" containsNumber="1" containsInteger="1" minValue="1" maxValue="8"/>
    </cacheField>
    <cacheField name="Month Start" numFmtId="14">
      <sharedItems containsSemiMixedTypes="0" containsNonDate="0" containsDate="1" containsString="0" minDate="2022-01-01T00:00:00" maxDate="2022-08-02T00:00:00"/>
    </cacheField>
    <cacheField name="Year-Month" numFmtId="0">
      <sharedItems count="8">
        <s v="2022-Feb"/>
        <s v="2022-Mar"/>
        <s v="2022-Jan"/>
        <s v="2022-Jun"/>
        <s v="2022-Jul"/>
        <s v="2022-Apr"/>
        <s v="2022-May"/>
        <s v="2022-Aug"/>
      </sharedItems>
    </cacheField>
    <cacheField name="Monthly Sales" numFmtId="1">
      <sharedItems containsSemiMixedTypes="0" containsString="0" containsNumber="1" minValue="46.75" maxValue="2645.1499999999996"/>
    </cacheField>
    <cacheField name="Monthly Target" numFmtId="1">
      <sharedItems containsSemiMixedTypes="0" containsString="0" containsNumber="1" minValue="591.22648148148176" maxValue="7783.74"/>
    </cacheField>
    <cacheField name="Target Achievement %" numFmtId="9">
      <sharedItems containsSemiMixedTypes="0" containsString="0" containsNumber="1" minValue="6.0061101732586135E-3" maxValue="3.4584531428048435"/>
    </cacheField>
    <cacheField name="Previous Month Sales" numFmtId="1">
      <sharedItems containsSemiMixedTypes="0" containsString="0" containsNumber="1" minValue="0" maxValue="2645.1499999999996"/>
    </cacheField>
    <cacheField name="MoM Growth %" numFmtId="9">
      <sharedItems containsSemiMixedTypes="0" containsString="0" containsNumber="1" minValue="-0.96348939825842472" maxValue="21.597005347593583"/>
    </cacheField>
    <cacheField name="Status" numFmtId="0">
      <sharedItems count="3">
        <s v="Growing"/>
        <s v="Degrowing"/>
        <s v="No Growth"/>
      </sharedItems>
    </cacheField>
    <cacheField name="Unique Flag" numFmtId="0">
      <sharedItems containsSemiMixedTypes="0" containsString="0" containsNumber="1" containsInteger="1" minValue="0" maxValue="1"/>
    </cacheField>
    <cacheField name="Days (Date)" numFmtId="0" databaseField="0">
      <fieldGroup base="0">
        <rangePr groupBy="days" startDate="2022-01-02T00:00:00" endDate="2022-09-01T00:00:00"/>
        <groupItems count="368">
          <s v="&lt;02-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Months (Date)" numFmtId="0" databaseField="0">
      <fieldGroup base="0">
        <rangePr groupBy="months" startDate="2022-01-02T00:00:00" endDate="2022-09-01T00:00:00"/>
        <groupItems count="14">
          <s v="&lt;02-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x v="0"/>
    <x v="0"/>
    <x v="0"/>
    <n v="7"/>
    <n v="67.430000000000007"/>
    <x v="0"/>
    <n v="2022"/>
    <x v="0"/>
    <n v="2"/>
    <d v="2022-02-01T00:00:00"/>
    <x v="0"/>
    <n v="837.85"/>
    <n v="862.01874999999984"/>
    <n v="0.97196261682243013"/>
    <n v="656.7700000000001"/>
    <n v="0.27571295887449165"/>
    <x v="0"/>
  </r>
  <r>
    <x v="1"/>
    <x v="1"/>
    <x v="1"/>
    <n v="18"/>
    <n v="421.46"/>
    <x v="1"/>
    <n v="2022"/>
    <x v="0"/>
    <n v="2"/>
    <d v="2022-02-01T00:00:00"/>
    <x v="0"/>
    <n v="1170.8000000000002"/>
    <n v="1682.6395384615382"/>
    <n v="0.69581153493545012"/>
    <n v="491.53"/>
    <n v="1.3819502370150352"/>
    <x v="0"/>
  </r>
  <r>
    <x v="2"/>
    <x v="2"/>
    <x v="2"/>
    <n v="2"/>
    <n v="48.25"/>
    <x v="2"/>
    <n v="2022"/>
    <x v="0"/>
    <n v="2"/>
    <d v="2022-02-01T00:00:00"/>
    <x v="0"/>
    <n v="738.18000000000006"/>
    <n v="1264.1315909090908"/>
    <n v="0.58394237222498602"/>
    <n v="882.82999999999993"/>
    <n v="-0.16384807947169883"/>
    <x v="1"/>
  </r>
  <r>
    <x v="3"/>
    <x v="0"/>
    <x v="1"/>
    <n v="5"/>
    <n v="59.89"/>
    <x v="2"/>
    <n v="2022"/>
    <x v="1"/>
    <n v="3"/>
    <d v="2022-03-01T00:00:00"/>
    <x v="1"/>
    <n v="274.01"/>
    <n v="2804.3992307692306"/>
    <n v="9.770720124068806E-2"/>
    <n v="1170.8000000000002"/>
    <n v="-0.76596344379911174"/>
    <x v="1"/>
  </r>
  <r>
    <x v="4"/>
    <x v="3"/>
    <x v="2"/>
    <n v="8"/>
    <n v="147.72999999999999"/>
    <x v="3"/>
    <n v="2022"/>
    <x v="2"/>
    <n v="1"/>
    <d v="2022-01-01T00:00:00"/>
    <x v="2"/>
    <n v="882.82999999999993"/>
    <n v="1896.1973863636363"/>
    <n v="0.46557916720527454"/>
    <n v="0"/>
    <n v="0"/>
    <x v="2"/>
  </r>
  <r>
    <x v="5"/>
    <x v="3"/>
    <x v="2"/>
    <n v="18"/>
    <n v="400.87"/>
    <x v="3"/>
    <n v="2022"/>
    <x v="0"/>
    <n v="2"/>
    <d v="2022-02-01T00:00:00"/>
    <x v="0"/>
    <n v="738.18000000000006"/>
    <n v="1264.1315909090908"/>
    <n v="0.58394237222498602"/>
    <n v="882.82999999999993"/>
    <n v="-0.16384807947169883"/>
    <x v="1"/>
  </r>
  <r>
    <x v="6"/>
    <x v="1"/>
    <x v="1"/>
    <n v="3"/>
    <n v="50.35"/>
    <x v="0"/>
    <n v="2022"/>
    <x v="3"/>
    <n v="6"/>
    <d v="2022-06-01T00:00:00"/>
    <x v="3"/>
    <n v="761.09999999999991"/>
    <n v="1402.1996153846153"/>
    <n v="0.54279005046741124"/>
    <n v="2645.1499999999996"/>
    <n v="-0.71226584503714341"/>
    <x v="1"/>
  </r>
  <r>
    <x v="7"/>
    <x v="4"/>
    <x v="2"/>
    <n v="13"/>
    <n v="282.43"/>
    <x v="3"/>
    <n v="2022"/>
    <x v="4"/>
    <n v="7"/>
    <d v="2022-07-01T00:00:00"/>
    <x v="4"/>
    <n v="1653.05"/>
    <n v="842.75439393939394"/>
    <n v="1.9614848784981569"/>
    <n v="585.20999999999992"/>
    <n v="1.8247124963688253"/>
    <x v="0"/>
  </r>
  <r>
    <x v="8"/>
    <x v="5"/>
    <x v="3"/>
    <n v="17"/>
    <n v="394.01"/>
    <x v="2"/>
    <n v="2022"/>
    <x v="1"/>
    <n v="3"/>
    <d v="2022-03-01T00:00:00"/>
    <x v="1"/>
    <n v="1095.8999999999999"/>
    <n v="1418.943555555556"/>
    <n v="0.77233516140176861"/>
    <n v="519.11"/>
    <n v="1.1111132515266511"/>
    <x v="0"/>
  </r>
  <r>
    <x v="9"/>
    <x v="1"/>
    <x v="4"/>
    <n v="7"/>
    <n v="89.29"/>
    <x v="0"/>
    <n v="2022"/>
    <x v="2"/>
    <n v="1"/>
    <d v="2022-01-01T00:00:00"/>
    <x v="2"/>
    <n v="680.2299999999999"/>
    <n v="1556.7479999999998"/>
    <n v="0.43695575648724133"/>
    <n v="0"/>
    <n v="0"/>
    <x v="2"/>
  </r>
  <r>
    <x v="10"/>
    <x v="2"/>
    <x v="0"/>
    <n v="11"/>
    <n v="150.72999999999999"/>
    <x v="1"/>
    <n v="2022"/>
    <x v="5"/>
    <n v="4"/>
    <d v="2022-04-01T00:00:00"/>
    <x v="5"/>
    <n v="574.2399999999999"/>
    <n v="1206.8262499999996"/>
    <n v="0.47582657404079509"/>
    <n v="1795.9"/>
    <n v="-0.68024945709672047"/>
    <x v="1"/>
  </r>
  <r>
    <x v="11"/>
    <x v="0"/>
    <x v="2"/>
    <n v="5"/>
    <n v="63.41"/>
    <x v="3"/>
    <n v="2022"/>
    <x v="0"/>
    <n v="2"/>
    <d v="2022-02-01T00:00:00"/>
    <x v="0"/>
    <n v="738.18000000000006"/>
    <n v="1264.1315909090908"/>
    <n v="0.58394237222498602"/>
    <n v="882.82999999999993"/>
    <n v="-0.16384807947169883"/>
    <x v="1"/>
  </r>
  <r>
    <x v="12"/>
    <x v="0"/>
    <x v="0"/>
    <n v="18"/>
    <n v="175.89"/>
    <x v="3"/>
    <n v="2022"/>
    <x v="3"/>
    <n v="6"/>
    <d v="2022-06-01T00:00:00"/>
    <x v="3"/>
    <n v="1013.7"/>
    <n v="862.01874999999984"/>
    <n v="1.1759604996991078"/>
    <n v="459.62"/>
    <n v="1.2055176014968889"/>
    <x v="0"/>
  </r>
  <r>
    <x v="13"/>
    <x v="5"/>
    <x v="3"/>
    <n v="18"/>
    <n v="296.97000000000003"/>
    <x v="0"/>
    <n v="2022"/>
    <x v="3"/>
    <n v="6"/>
    <d v="2022-06-01T00:00:00"/>
    <x v="3"/>
    <n v="1655.98"/>
    <n v="591.22648148148176"/>
    <n v="2.8009232533875736"/>
    <n v="1584.09"/>
    <n v="4.5382522457688708E-2"/>
    <x v="0"/>
  </r>
  <r>
    <x v="14"/>
    <x v="2"/>
    <x v="2"/>
    <n v="12"/>
    <n v="177.75"/>
    <x v="3"/>
    <n v="2022"/>
    <x v="3"/>
    <n v="6"/>
    <d v="2022-06-01T00:00:00"/>
    <x v="3"/>
    <n v="585.20999999999992"/>
    <n v="1896.1973863636363"/>
    <n v="0.30862293356614373"/>
    <n v="1938.8200000000002"/>
    <n v="-0.69816176849836498"/>
    <x v="1"/>
  </r>
  <r>
    <x v="15"/>
    <x v="2"/>
    <x v="1"/>
    <n v="14"/>
    <n v="285.08999999999997"/>
    <x v="1"/>
    <n v="2022"/>
    <x v="5"/>
    <n v="4"/>
    <d v="2022-04-01T00:00:00"/>
    <x v="5"/>
    <n v="2185.4700000000003"/>
    <n v="841.31976923076911"/>
    <n v="2.5976686628892689"/>
    <n v="274.01"/>
    <n v="6.9758767928177816"/>
    <x v="0"/>
  </r>
  <r>
    <x v="16"/>
    <x v="0"/>
    <x v="2"/>
    <n v="12"/>
    <n v="277.22000000000003"/>
    <x v="0"/>
    <n v="2022"/>
    <x v="5"/>
    <n v="4"/>
    <d v="2022-04-01T00:00:00"/>
    <x v="5"/>
    <n v="972.89"/>
    <n v="1516.9579090909092"/>
    <n v="0.64134277831283981"/>
    <n v="522.87"/>
    <n v="0.86067282498517794"/>
    <x v="0"/>
  </r>
  <r>
    <x v="17"/>
    <x v="5"/>
    <x v="3"/>
    <n v="17"/>
    <n v="175.18"/>
    <x v="1"/>
    <n v="2022"/>
    <x v="0"/>
    <n v="2"/>
    <d v="2022-02-01T00:00:00"/>
    <x v="0"/>
    <n v="519.11"/>
    <n v="1773.6794444444454"/>
    <n v="0.29267408021554675"/>
    <n v="1368.74"/>
    <n v="-0.62073878165319929"/>
    <x v="1"/>
  </r>
  <r>
    <x v="18"/>
    <x v="1"/>
    <x v="2"/>
    <n v="12"/>
    <n v="192.16"/>
    <x v="0"/>
    <n v="2022"/>
    <x v="2"/>
    <n v="1"/>
    <d v="2022-01-01T00:00:00"/>
    <x v="2"/>
    <n v="882.82999999999993"/>
    <n v="1896.1973863636363"/>
    <n v="0.46557916720527454"/>
    <n v="0"/>
    <n v="0"/>
    <x v="2"/>
  </r>
  <r>
    <x v="19"/>
    <x v="6"/>
    <x v="1"/>
    <n v="9"/>
    <n v="123.12"/>
    <x v="4"/>
    <n v="2022"/>
    <x v="6"/>
    <n v="5"/>
    <d v="2022-05-01T00:00:00"/>
    <x v="6"/>
    <n v="2645.1499999999996"/>
    <n v="764.83615384615382"/>
    <n v="3.4584531428048435"/>
    <n v="2185.4700000000003"/>
    <n v="0.21033461909795118"/>
    <x v="0"/>
  </r>
  <r>
    <x v="20"/>
    <x v="0"/>
    <x v="0"/>
    <n v="15"/>
    <n v="238.86"/>
    <x v="0"/>
    <n v="2022"/>
    <x v="3"/>
    <n v="6"/>
    <d v="2022-06-01T00:00:00"/>
    <x v="3"/>
    <n v="1013.7"/>
    <n v="862.01874999999984"/>
    <n v="1.1759604996991078"/>
    <n v="459.62"/>
    <n v="1.2055176014968889"/>
    <x v="0"/>
  </r>
  <r>
    <x v="21"/>
    <x v="4"/>
    <x v="4"/>
    <n v="20"/>
    <n v="272.37"/>
    <x v="2"/>
    <n v="2022"/>
    <x v="4"/>
    <n v="7"/>
    <d v="2022-07-01T00:00:00"/>
    <x v="4"/>
    <n v="1056.4100000000001"/>
    <n v="1945.9349999999999"/>
    <n v="0.54288041481344451"/>
    <n v="46.75"/>
    <n v="21.597005347593583"/>
    <x v="0"/>
  </r>
  <r>
    <x v="22"/>
    <x v="6"/>
    <x v="5"/>
    <n v="8"/>
    <n v="82.86"/>
    <x v="3"/>
    <n v="2022"/>
    <x v="6"/>
    <n v="5"/>
    <d v="2022-05-01T00:00:00"/>
    <x v="6"/>
    <n v="185.17000000000002"/>
    <n v="2805.9894545454554"/>
    <n v="6.5990982147149893E-2"/>
    <n v="1623.23"/>
    <n v="-0.88592497674389947"/>
    <x v="1"/>
  </r>
  <r>
    <x v="23"/>
    <x v="4"/>
    <x v="6"/>
    <n v="19"/>
    <n v="447.21"/>
    <x v="4"/>
    <n v="2022"/>
    <x v="5"/>
    <n v="4"/>
    <d v="2022-04-01T00:00:00"/>
    <x v="5"/>
    <n v="865.70999999999992"/>
    <n v="2189.9328888888886"/>
    <n v="0.39531348398499888"/>
    <n v="760.68999999999994"/>
    <n v="0.13805886760704097"/>
    <x v="0"/>
  </r>
  <r>
    <x v="12"/>
    <x v="4"/>
    <x v="3"/>
    <n v="1"/>
    <n v="9.98"/>
    <x v="1"/>
    <n v="2022"/>
    <x v="3"/>
    <n v="6"/>
    <d v="2022-06-01T00:00:00"/>
    <x v="3"/>
    <n v="1655.98"/>
    <n v="591.22648148148176"/>
    <n v="2.8009232533875736"/>
    <n v="1584.09"/>
    <n v="4.5382522457688708E-2"/>
    <x v="0"/>
  </r>
  <r>
    <x v="24"/>
    <x v="0"/>
    <x v="5"/>
    <n v="5"/>
    <n v="101.4"/>
    <x v="4"/>
    <n v="2022"/>
    <x v="4"/>
    <n v="7"/>
    <d v="2022-07-01T00:00:00"/>
    <x v="4"/>
    <n v="1698.9899999999998"/>
    <n v="1202.5669090909096"/>
    <n v="1.4128028861898132"/>
    <n v="2252.73"/>
    <n v="-0.24580841911813675"/>
    <x v="1"/>
  </r>
  <r>
    <x v="25"/>
    <x v="3"/>
    <x v="4"/>
    <n v="13"/>
    <n v="206.79"/>
    <x v="4"/>
    <n v="2022"/>
    <x v="7"/>
    <n v="8"/>
    <d v="2022-08-01T00:00:00"/>
    <x v="7"/>
    <n v="507.65"/>
    <n v="1945.9349999999999"/>
    <n v="0.26087716187847998"/>
    <n v="1056.4100000000001"/>
    <n v="-0.51945740763529313"/>
    <x v="1"/>
  </r>
  <r>
    <x v="26"/>
    <x v="6"/>
    <x v="6"/>
    <n v="11"/>
    <n v="153.08000000000001"/>
    <x v="2"/>
    <n v="2022"/>
    <x v="4"/>
    <n v="7"/>
    <d v="2022-07-01T00:00:00"/>
    <x v="4"/>
    <n v="874.87"/>
    <n v="938.54266666666649"/>
    <n v="0.9321579413189528"/>
    <n v="704.09"/>
    <n v="0.24255421892087653"/>
    <x v="0"/>
  </r>
  <r>
    <x v="27"/>
    <x v="3"/>
    <x v="6"/>
    <n v="18"/>
    <n v="411.44"/>
    <x v="3"/>
    <n v="2022"/>
    <x v="0"/>
    <n v="2"/>
    <d v="2022-02-01T00:00:00"/>
    <x v="0"/>
    <n v="930.81000000000006"/>
    <n v="1094.9664444444443"/>
    <n v="0.85008084468950762"/>
    <n v="1214.3899999999999"/>
    <n v="-0.23351641564900885"/>
    <x v="1"/>
  </r>
  <r>
    <x v="28"/>
    <x v="6"/>
    <x v="5"/>
    <n v="5"/>
    <n v="46.92"/>
    <x v="1"/>
    <n v="2022"/>
    <x v="1"/>
    <n v="3"/>
    <d v="2022-03-01T00:00:00"/>
    <x v="1"/>
    <n v="1922.5800000000002"/>
    <n v="841.79683636363654"/>
    <n v="2.2839002440364253"/>
    <n v="1770.3600000000001"/>
    <n v="8.5982512031451241E-2"/>
    <x v="0"/>
  </r>
  <r>
    <x v="29"/>
    <x v="2"/>
    <x v="0"/>
    <n v="3"/>
    <n v="42.85"/>
    <x v="2"/>
    <n v="2022"/>
    <x v="3"/>
    <n v="6"/>
    <d v="2022-06-01T00:00:00"/>
    <x v="3"/>
    <n v="1013.7"/>
    <n v="862.01874999999984"/>
    <n v="1.1759604996991078"/>
    <n v="459.62"/>
    <n v="1.2055176014968889"/>
    <x v="0"/>
  </r>
  <r>
    <x v="30"/>
    <x v="4"/>
    <x v="3"/>
    <n v="2"/>
    <n v="40.17"/>
    <x v="2"/>
    <n v="2022"/>
    <x v="3"/>
    <n v="6"/>
    <d v="2022-06-01T00:00:00"/>
    <x v="3"/>
    <n v="1655.98"/>
    <n v="591.22648148148176"/>
    <n v="2.8009232533875736"/>
    <n v="1584.09"/>
    <n v="4.5382522457688708E-2"/>
    <x v="0"/>
  </r>
  <r>
    <x v="31"/>
    <x v="1"/>
    <x v="5"/>
    <n v="13"/>
    <n v="243.79"/>
    <x v="1"/>
    <n v="2022"/>
    <x v="1"/>
    <n v="3"/>
    <d v="2022-03-01T00:00:00"/>
    <x v="1"/>
    <n v="1922.5800000000002"/>
    <n v="841.79683636363654"/>
    <n v="2.2839002440364253"/>
    <n v="1770.3600000000001"/>
    <n v="8.5982512031451241E-2"/>
    <x v="0"/>
  </r>
  <r>
    <x v="32"/>
    <x v="1"/>
    <x v="3"/>
    <n v="2"/>
    <n v="44.86"/>
    <x v="2"/>
    <n v="2022"/>
    <x v="1"/>
    <n v="3"/>
    <d v="2022-03-01T00:00:00"/>
    <x v="1"/>
    <n v="1095.8999999999999"/>
    <n v="1418.943555555556"/>
    <n v="0.77233516140176861"/>
    <n v="519.11"/>
    <n v="1.1111132515266511"/>
    <x v="0"/>
  </r>
  <r>
    <x v="33"/>
    <x v="3"/>
    <x v="1"/>
    <n v="19"/>
    <n v="288.39999999999998"/>
    <x v="2"/>
    <n v="2022"/>
    <x v="4"/>
    <n v="7"/>
    <d v="2022-07-01T00:00:00"/>
    <x v="4"/>
    <n v="1166.76"/>
    <n v="1682.6395384615382"/>
    <n v="0.69341054535470237"/>
    <n v="761.09999999999991"/>
    <n v="0.53299172250689808"/>
    <x v="0"/>
  </r>
  <r>
    <x v="34"/>
    <x v="2"/>
    <x v="6"/>
    <n v="9"/>
    <n v="137.02000000000001"/>
    <x v="4"/>
    <n v="2022"/>
    <x v="4"/>
    <n v="7"/>
    <d v="2022-07-01T00:00:00"/>
    <x v="4"/>
    <n v="874.87"/>
    <n v="938.54266666666649"/>
    <n v="0.9321579413189528"/>
    <n v="704.09"/>
    <n v="0.24255421892087653"/>
    <x v="0"/>
  </r>
  <r>
    <x v="35"/>
    <x v="1"/>
    <x v="3"/>
    <n v="11"/>
    <n v="228.69"/>
    <x v="4"/>
    <n v="2022"/>
    <x v="6"/>
    <n v="5"/>
    <d v="2022-05-01T00:00:00"/>
    <x v="6"/>
    <n v="1584.09"/>
    <n v="709.47177777777802"/>
    <n v="2.2327738038597094"/>
    <n v="377.24"/>
    <n v="3.1991570353090868"/>
    <x v="0"/>
  </r>
  <r>
    <x v="36"/>
    <x v="3"/>
    <x v="5"/>
    <n v="14"/>
    <n v="287.52999999999997"/>
    <x v="3"/>
    <n v="2022"/>
    <x v="3"/>
    <n v="6"/>
    <d v="2022-06-01T00:00:00"/>
    <x v="3"/>
    <n v="2252.73"/>
    <n v="765.26985123966961"/>
    <n v="2.9437067151551526"/>
    <n v="185.17000000000002"/>
    <n v="11.165739590646432"/>
    <x v="0"/>
  </r>
  <r>
    <x v="37"/>
    <x v="3"/>
    <x v="5"/>
    <n v="14"/>
    <n v="294.16000000000003"/>
    <x v="0"/>
    <n v="2022"/>
    <x v="5"/>
    <n v="4"/>
    <d v="2022-04-01T00:00:00"/>
    <x v="5"/>
    <n v="1623.23"/>
    <n v="1402.9947272727277"/>
    <n v="1.156975125028008"/>
    <n v="1922.5800000000002"/>
    <n v="-0.15570223345712539"/>
    <x v="1"/>
  </r>
  <r>
    <x v="38"/>
    <x v="1"/>
    <x v="1"/>
    <n v="19"/>
    <n v="217.38"/>
    <x v="4"/>
    <n v="2022"/>
    <x v="4"/>
    <n v="7"/>
    <d v="2022-07-01T00:00:00"/>
    <x v="4"/>
    <n v="1166.76"/>
    <n v="1682.6395384615382"/>
    <n v="0.69341054535470237"/>
    <n v="761.09999999999991"/>
    <n v="0.53299172250689808"/>
    <x v="0"/>
  </r>
  <r>
    <x v="39"/>
    <x v="2"/>
    <x v="0"/>
    <n v="13"/>
    <n v="232.97"/>
    <x v="1"/>
    <n v="2022"/>
    <x v="7"/>
    <n v="8"/>
    <d v="2022-08-01T00:00:00"/>
    <x v="7"/>
    <n v="1020.76"/>
    <n v="1206.8262499999996"/>
    <n v="0.8458218405507838"/>
    <n v="537.31000000000006"/>
    <n v="0.89975991513279086"/>
    <x v="0"/>
  </r>
  <r>
    <x v="22"/>
    <x v="1"/>
    <x v="2"/>
    <n v="3"/>
    <n v="34.74"/>
    <x v="2"/>
    <n v="2022"/>
    <x v="6"/>
    <n v="5"/>
    <d v="2022-05-01T00:00:00"/>
    <x v="6"/>
    <n v="1938.8200000000002"/>
    <n v="758.4789545454546"/>
    <n v="2.5561948533719128"/>
    <n v="972.89"/>
    <n v="0.99284605659427083"/>
    <x v="0"/>
  </r>
  <r>
    <x v="40"/>
    <x v="6"/>
    <x v="0"/>
    <n v="7"/>
    <n v="152.22999999999999"/>
    <x v="3"/>
    <n v="2022"/>
    <x v="5"/>
    <n v="4"/>
    <d v="2022-04-01T00:00:00"/>
    <x v="5"/>
    <n v="574.2399999999999"/>
    <n v="1206.8262499999996"/>
    <n v="0.47582657404079509"/>
    <n v="1795.9"/>
    <n v="-0.68024945709672047"/>
    <x v="1"/>
  </r>
  <r>
    <x v="41"/>
    <x v="5"/>
    <x v="6"/>
    <n v="11"/>
    <n v="197.71"/>
    <x v="2"/>
    <n v="2022"/>
    <x v="6"/>
    <n v="5"/>
    <d v="2022-05-01T00:00:00"/>
    <x v="6"/>
    <n v="791.69999999999993"/>
    <n v="1094.9664444444443"/>
    <n v="0.72303585558887751"/>
    <n v="865.70999999999992"/>
    <n v="-8.5490522230308064E-2"/>
    <x v="1"/>
  </r>
  <r>
    <x v="42"/>
    <x v="6"/>
    <x v="0"/>
    <n v="10"/>
    <n v="161.56"/>
    <x v="3"/>
    <n v="2022"/>
    <x v="2"/>
    <n v="1"/>
    <d v="2022-01-01T00:00:00"/>
    <x v="2"/>
    <n v="656.7700000000001"/>
    <n v="1005.6885416666664"/>
    <n v="0.65305506902919974"/>
    <n v="0"/>
    <n v="0"/>
    <x v="2"/>
  </r>
  <r>
    <x v="43"/>
    <x v="1"/>
    <x v="3"/>
    <n v="16"/>
    <n v="339.11"/>
    <x v="2"/>
    <n v="2022"/>
    <x v="6"/>
    <n v="5"/>
    <d v="2022-05-01T00:00:00"/>
    <x v="6"/>
    <n v="1584.09"/>
    <n v="709.47177777777802"/>
    <n v="2.2327738038597094"/>
    <n v="377.24"/>
    <n v="3.1991570353090868"/>
    <x v="0"/>
  </r>
  <r>
    <x v="44"/>
    <x v="1"/>
    <x v="4"/>
    <n v="1"/>
    <n v="11.64"/>
    <x v="2"/>
    <n v="2022"/>
    <x v="1"/>
    <n v="3"/>
    <d v="2022-03-01T00:00:00"/>
    <x v="1"/>
    <n v="690.2"/>
    <n v="1945.9349999999999"/>
    <n v="0.35468810623170871"/>
    <n v="1484.3899999999999"/>
    <n v="-0.53502785656060736"/>
    <x v="1"/>
  </r>
  <r>
    <x v="45"/>
    <x v="1"/>
    <x v="3"/>
    <n v="3"/>
    <n v="36.54"/>
    <x v="0"/>
    <n v="2022"/>
    <x v="6"/>
    <n v="5"/>
    <d v="2022-05-01T00:00:00"/>
    <x v="6"/>
    <n v="1584.09"/>
    <n v="709.47177777777802"/>
    <n v="2.2327738038597094"/>
    <n v="377.24"/>
    <n v="3.1991570353090868"/>
    <x v="0"/>
  </r>
  <r>
    <x v="46"/>
    <x v="2"/>
    <x v="4"/>
    <n v="16"/>
    <n v="163.57"/>
    <x v="3"/>
    <n v="2022"/>
    <x v="4"/>
    <n v="7"/>
    <d v="2022-07-01T00:00:00"/>
    <x v="4"/>
    <n v="1056.4100000000001"/>
    <n v="1945.9349999999999"/>
    <n v="0.54288041481344451"/>
    <n v="46.75"/>
    <n v="21.597005347593583"/>
    <x v="0"/>
  </r>
  <r>
    <x v="47"/>
    <x v="2"/>
    <x v="3"/>
    <n v="11"/>
    <n v="221.08"/>
    <x v="4"/>
    <n v="2022"/>
    <x v="5"/>
    <n v="4"/>
    <d v="2022-04-01T00:00:00"/>
    <x v="5"/>
    <n v="377.24"/>
    <n v="2364.905925925927"/>
    <n v="0.15951585890347836"/>
    <n v="1095.8999999999999"/>
    <n v="-0.65577151199926997"/>
    <x v="1"/>
  </r>
  <r>
    <x v="48"/>
    <x v="3"/>
    <x v="1"/>
    <n v="14"/>
    <n v="201.96"/>
    <x v="3"/>
    <n v="2022"/>
    <x v="2"/>
    <n v="1"/>
    <d v="2022-01-01T00:00:00"/>
    <x v="2"/>
    <n v="491.53"/>
    <n v="4206.5988461538454"/>
    <n v="0.11684736719057796"/>
    <n v="0"/>
    <n v="0"/>
    <x v="2"/>
  </r>
  <r>
    <x v="49"/>
    <x v="2"/>
    <x v="5"/>
    <n v="7"/>
    <n v="134.24"/>
    <x v="2"/>
    <n v="2022"/>
    <x v="3"/>
    <n v="6"/>
    <d v="2022-06-01T00:00:00"/>
    <x v="3"/>
    <n v="2252.73"/>
    <n v="765.26985123966961"/>
    <n v="2.9437067151551526"/>
    <n v="185.17000000000002"/>
    <n v="11.165739590646432"/>
    <x v="0"/>
  </r>
  <r>
    <x v="50"/>
    <x v="6"/>
    <x v="4"/>
    <n v="8"/>
    <n v="85.5"/>
    <x v="1"/>
    <n v="2022"/>
    <x v="7"/>
    <n v="8"/>
    <d v="2022-08-01T00:00:00"/>
    <x v="7"/>
    <n v="507.65"/>
    <n v="1945.9349999999999"/>
    <n v="0.26087716187847998"/>
    <n v="1056.4100000000001"/>
    <n v="-0.51945740763529313"/>
    <x v="1"/>
  </r>
  <r>
    <x v="48"/>
    <x v="0"/>
    <x v="6"/>
    <n v="3"/>
    <n v="42.45"/>
    <x v="4"/>
    <n v="2022"/>
    <x v="2"/>
    <n v="1"/>
    <d v="2022-01-01T00:00:00"/>
    <x v="2"/>
    <n v="1214.3899999999999"/>
    <n v="821.22483333333321"/>
    <n v="1.4787546000902312"/>
    <n v="0"/>
    <n v="0"/>
    <x v="2"/>
  </r>
  <r>
    <x v="51"/>
    <x v="5"/>
    <x v="6"/>
    <n v="4"/>
    <n v="43.61"/>
    <x v="2"/>
    <n v="2022"/>
    <x v="4"/>
    <n v="7"/>
    <d v="2022-07-01T00:00:00"/>
    <x v="4"/>
    <n v="874.87"/>
    <n v="938.54266666666649"/>
    <n v="0.9321579413189528"/>
    <n v="704.09"/>
    <n v="0.24255421892087653"/>
    <x v="0"/>
  </r>
  <r>
    <x v="52"/>
    <x v="3"/>
    <x v="5"/>
    <n v="7"/>
    <n v="134.53"/>
    <x v="2"/>
    <n v="2022"/>
    <x v="1"/>
    <n v="3"/>
    <d v="2022-03-01T00:00:00"/>
    <x v="1"/>
    <n v="1922.5800000000002"/>
    <n v="841.79683636363654"/>
    <n v="2.2839002440364253"/>
    <n v="1770.3600000000001"/>
    <n v="8.5982512031451241E-2"/>
    <x v="0"/>
  </r>
  <r>
    <x v="53"/>
    <x v="0"/>
    <x v="0"/>
    <n v="7"/>
    <n v="141.33000000000001"/>
    <x v="3"/>
    <n v="2022"/>
    <x v="5"/>
    <n v="4"/>
    <d v="2022-04-01T00:00:00"/>
    <x v="5"/>
    <n v="574.2399999999999"/>
    <n v="1206.8262499999996"/>
    <n v="0.47582657404079509"/>
    <n v="1795.9"/>
    <n v="-0.68024945709672047"/>
    <x v="1"/>
  </r>
  <r>
    <x v="54"/>
    <x v="2"/>
    <x v="1"/>
    <n v="18"/>
    <n v="336.53"/>
    <x v="2"/>
    <n v="2022"/>
    <x v="7"/>
    <n v="8"/>
    <d v="2022-08-01T00:00:00"/>
    <x v="7"/>
    <n v="1721.52"/>
    <n v="841.31976923076911"/>
    <n v="2.046213654974506"/>
    <n v="1166.76"/>
    <n v="0.47547053378586857"/>
    <x v="0"/>
  </r>
  <r>
    <x v="55"/>
    <x v="5"/>
    <x v="5"/>
    <n v="20"/>
    <n v="470.78"/>
    <x v="0"/>
    <n v="2022"/>
    <x v="5"/>
    <n v="4"/>
    <d v="2022-04-01T00:00:00"/>
    <x v="5"/>
    <n v="1623.23"/>
    <n v="1402.9947272727277"/>
    <n v="1.156975125028008"/>
    <n v="1922.5800000000002"/>
    <n v="-0.15570223345712539"/>
    <x v="1"/>
  </r>
  <r>
    <x v="28"/>
    <x v="5"/>
    <x v="6"/>
    <n v="14"/>
    <n v="163.03"/>
    <x v="2"/>
    <n v="2022"/>
    <x v="1"/>
    <n v="3"/>
    <d v="2022-03-01T00:00:00"/>
    <x v="1"/>
    <n v="760.68999999999994"/>
    <n v="1313.9597333333331"/>
    <n v="0.57892946085207286"/>
    <n v="930.81000000000006"/>
    <n v="-0.18276554828590164"/>
    <x v="1"/>
  </r>
  <r>
    <x v="56"/>
    <x v="2"/>
    <x v="5"/>
    <n v="7"/>
    <n v="88.38"/>
    <x v="4"/>
    <n v="2022"/>
    <x v="3"/>
    <n v="6"/>
    <d v="2022-06-01T00:00:00"/>
    <x v="3"/>
    <n v="2252.73"/>
    <n v="765.26985123966961"/>
    <n v="2.9437067151551526"/>
    <n v="185.17000000000002"/>
    <n v="11.165739590646432"/>
    <x v="0"/>
  </r>
  <r>
    <x v="57"/>
    <x v="4"/>
    <x v="1"/>
    <n v="11"/>
    <n v="127.82"/>
    <x v="3"/>
    <n v="2022"/>
    <x v="3"/>
    <n v="6"/>
    <d v="2022-06-01T00:00:00"/>
    <x v="3"/>
    <n v="761.09999999999991"/>
    <n v="1402.1996153846153"/>
    <n v="0.54279005046741124"/>
    <n v="2645.1499999999996"/>
    <n v="-0.71226584503714341"/>
    <x v="1"/>
  </r>
  <r>
    <x v="58"/>
    <x v="4"/>
    <x v="3"/>
    <n v="2"/>
    <n v="30.78"/>
    <x v="1"/>
    <n v="2022"/>
    <x v="5"/>
    <n v="4"/>
    <d v="2022-04-01T00:00:00"/>
    <x v="5"/>
    <n v="377.24"/>
    <n v="2364.905925925927"/>
    <n v="0.15951585890347836"/>
    <n v="1095.8999999999999"/>
    <n v="-0.65577151199926997"/>
    <x v="1"/>
  </r>
  <r>
    <x v="59"/>
    <x v="5"/>
    <x v="6"/>
    <n v="11"/>
    <n v="211.91"/>
    <x v="3"/>
    <n v="2022"/>
    <x v="2"/>
    <n v="1"/>
    <d v="2022-01-01T00:00:00"/>
    <x v="2"/>
    <n v="1214.3899999999999"/>
    <n v="821.22483333333321"/>
    <n v="1.4787546000902312"/>
    <n v="0"/>
    <n v="0"/>
    <x v="2"/>
  </r>
  <r>
    <x v="60"/>
    <x v="2"/>
    <x v="1"/>
    <n v="2"/>
    <n v="34.090000000000003"/>
    <x v="3"/>
    <n v="2022"/>
    <x v="7"/>
    <n v="8"/>
    <d v="2022-08-01T00:00:00"/>
    <x v="7"/>
    <n v="1721.52"/>
    <n v="841.31976923076911"/>
    <n v="2.046213654974506"/>
    <n v="1166.76"/>
    <n v="0.47547053378586857"/>
    <x v="0"/>
  </r>
  <r>
    <x v="34"/>
    <x v="5"/>
    <x v="2"/>
    <n v="9"/>
    <n v="158.69"/>
    <x v="4"/>
    <n v="2022"/>
    <x v="4"/>
    <n v="7"/>
    <d v="2022-07-01T00:00:00"/>
    <x v="4"/>
    <n v="1653.05"/>
    <n v="842.75439393939394"/>
    <n v="1.9614848784981569"/>
    <n v="585.20999999999992"/>
    <n v="1.8247124963688253"/>
    <x v="0"/>
  </r>
  <r>
    <x v="61"/>
    <x v="5"/>
    <x v="1"/>
    <n v="15"/>
    <n v="355.23"/>
    <x v="1"/>
    <n v="2022"/>
    <x v="6"/>
    <n v="5"/>
    <d v="2022-05-01T00:00:00"/>
    <x v="6"/>
    <n v="2645.1499999999996"/>
    <n v="764.83615384615382"/>
    <n v="3.4584531428048435"/>
    <n v="2185.4700000000003"/>
    <n v="0.21033461909795118"/>
    <x v="0"/>
  </r>
  <r>
    <x v="62"/>
    <x v="1"/>
    <x v="2"/>
    <n v="9"/>
    <n v="202.58"/>
    <x v="1"/>
    <n v="2022"/>
    <x v="5"/>
    <n v="4"/>
    <d v="2022-04-01T00:00:00"/>
    <x v="5"/>
    <n v="972.89"/>
    <n v="1516.9579090909092"/>
    <n v="0.64134277831283981"/>
    <n v="522.87"/>
    <n v="0.86067282498517794"/>
    <x v="0"/>
  </r>
  <r>
    <x v="60"/>
    <x v="6"/>
    <x v="1"/>
    <n v="10"/>
    <n v="245.9"/>
    <x v="3"/>
    <n v="2022"/>
    <x v="7"/>
    <n v="8"/>
    <d v="2022-08-01T00:00:00"/>
    <x v="7"/>
    <n v="1721.52"/>
    <n v="841.31976923076911"/>
    <n v="2.046213654974506"/>
    <n v="1166.76"/>
    <n v="0.47547053378586857"/>
    <x v="0"/>
  </r>
  <r>
    <x v="63"/>
    <x v="5"/>
    <x v="2"/>
    <n v="12"/>
    <n v="270.74"/>
    <x v="0"/>
    <n v="2022"/>
    <x v="7"/>
    <n v="8"/>
    <d v="2022-08-01T00:00:00"/>
    <x v="7"/>
    <n v="652.12"/>
    <n v="1896.1973863636363"/>
    <n v="0.34390934440141774"/>
    <n v="1653.05"/>
    <n v="-0.6055049756510692"/>
    <x v="1"/>
  </r>
  <r>
    <x v="64"/>
    <x v="4"/>
    <x v="2"/>
    <n v="5"/>
    <n v="88.84"/>
    <x v="4"/>
    <n v="2022"/>
    <x v="7"/>
    <n v="8"/>
    <d v="2022-08-01T00:00:00"/>
    <x v="7"/>
    <n v="652.12"/>
    <n v="1896.1973863636363"/>
    <n v="0.34390934440141774"/>
    <n v="1653.05"/>
    <n v="-0.6055049756510692"/>
    <x v="1"/>
  </r>
  <r>
    <x v="65"/>
    <x v="2"/>
    <x v="5"/>
    <n v="20"/>
    <n v="433.81"/>
    <x v="3"/>
    <n v="2022"/>
    <x v="1"/>
    <n v="3"/>
    <d v="2022-03-01T00:00:00"/>
    <x v="1"/>
    <n v="1922.5800000000002"/>
    <n v="841.79683636363654"/>
    <n v="2.2839002440364253"/>
    <n v="1770.3600000000001"/>
    <n v="8.5982512031451241E-2"/>
    <x v="0"/>
  </r>
  <r>
    <x v="7"/>
    <x v="1"/>
    <x v="0"/>
    <n v="2"/>
    <n v="29.63"/>
    <x v="0"/>
    <n v="2022"/>
    <x v="4"/>
    <n v="7"/>
    <d v="2022-07-01T00:00:00"/>
    <x v="4"/>
    <n v="537.31000000000006"/>
    <n v="862.01874999999984"/>
    <n v="0.62331590815165006"/>
    <n v="1013.7"/>
    <n v="-0.46995166222748347"/>
    <x v="1"/>
  </r>
  <r>
    <x v="5"/>
    <x v="4"/>
    <x v="5"/>
    <n v="15"/>
    <n v="334.05"/>
    <x v="1"/>
    <n v="2022"/>
    <x v="0"/>
    <n v="2"/>
    <d v="2022-02-01T00:00:00"/>
    <x v="0"/>
    <n v="1770.3600000000001"/>
    <n v="1052.2460454545458"/>
    <n v="1.6824582117913742"/>
    <n v="241.89999999999998"/>
    <n v="6.3185613890037216"/>
    <x v="0"/>
  </r>
  <r>
    <x v="66"/>
    <x v="5"/>
    <x v="2"/>
    <n v="4"/>
    <n v="52.1"/>
    <x v="4"/>
    <n v="2022"/>
    <x v="0"/>
    <n v="2"/>
    <d v="2022-02-01T00:00:00"/>
    <x v="0"/>
    <n v="738.18000000000006"/>
    <n v="1264.1315909090908"/>
    <n v="0.58394237222498602"/>
    <n v="882.82999999999993"/>
    <n v="-0.16384807947169883"/>
    <x v="1"/>
  </r>
  <r>
    <x v="61"/>
    <x v="1"/>
    <x v="2"/>
    <n v="6"/>
    <n v="51.97"/>
    <x v="2"/>
    <n v="2022"/>
    <x v="6"/>
    <n v="5"/>
    <d v="2022-05-01T00:00:00"/>
    <x v="6"/>
    <n v="1938.8200000000002"/>
    <n v="758.4789545454546"/>
    <n v="2.5561948533719128"/>
    <n v="972.89"/>
    <n v="0.99284605659427083"/>
    <x v="0"/>
  </r>
  <r>
    <x v="67"/>
    <x v="1"/>
    <x v="3"/>
    <n v="14"/>
    <n v="324.2"/>
    <x v="3"/>
    <n v="2022"/>
    <x v="4"/>
    <n v="7"/>
    <d v="2022-07-01T00:00:00"/>
    <x v="4"/>
    <n v="1767.0500000000002"/>
    <n v="709.47177777777802"/>
    <n v="2.4906558024545955"/>
    <n v="1655.98"/>
    <n v="6.7072066087754775E-2"/>
    <x v="0"/>
  </r>
  <r>
    <x v="68"/>
    <x v="5"/>
    <x v="6"/>
    <n v="9"/>
    <n v="155.31"/>
    <x v="2"/>
    <n v="2022"/>
    <x v="6"/>
    <n v="5"/>
    <d v="2022-05-01T00:00:00"/>
    <x v="6"/>
    <n v="791.69999999999993"/>
    <n v="1094.9664444444443"/>
    <n v="0.72303585558887751"/>
    <n v="865.70999999999992"/>
    <n v="-8.5490522230308064E-2"/>
    <x v="1"/>
  </r>
  <r>
    <x v="69"/>
    <x v="5"/>
    <x v="3"/>
    <n v="13"/>
    <n v="205.85"/>
    <x v="2"/>
    <n v="2022"/>
    <x v="0"/>
    <n v="2"/>
    <d v="2022-02-01T00:00:00"/>
    <x v="0"/>
    <n v="519.11"/>
    <n v="1773.6794444444454"/>
    <n v="0.29267408021554675"/>
    <n v="1368.74"/>
    <n v="-0.62073878165319929"/>
    <x v="1"/>
  </r>
  <r>
    <x v="15"/>
    <x v="0"/>
    <x v="0"/>
    <n v="4"/>
    <n v="64.28"/>
    <x v="2"/>
    <n v="2022"/>
    <x v="5"/>
    <n v="4"/>
    <d v="2022-04-01T00:00:00"/>
    <x v="5"/>
    <n v="574.2399999999999"/>
    <n v="1206.8262499999996"/>
    <n v="0.47582657404079509"/>
    <n v="1795.9"/>
    <n v="-0.68024945709672047"/>
    <x v="1"/>
  </r>
  <r>
    <x v="70"/>
    <x v="6"/>
    <x v="3"/>
    <n v="1"/>
    <n v="8.09"/>
    <x v="4"/>
    <n v="2022"/>
    <x v="3"/>
    <n v="6"/>
    <d v="2022-06-01T00:00:00"/>
    <x v="3"/>
    <n v="1655.98"/>
    <n v="591.22648148148176"/>
    <n v="2.8009232533875736"/>
    <n v="1584.09"/>
    <n v="4.5382522457688708E-2"/>
    <x v="0"/>
  </r>
  <r>
    <x v="71"/>
    <x v="3"/>
    <x v="2"/>
    <n v="10"/>
    <n v="213.75"/>
    <x v="1"/>
    <n v="2022"/>
    <x v="7"/>
    <n v="8"/>
    <d v="2022-08-01T00:00:00"/>
    <x v="7"/>
    <n v="652.12"/>
    <n v="1896.1973863636363"/>
    <n v="0.34390934440141774"/>
    <n v="1653.05"/>
    <n v="-0.6055049756510692"/>
    <x v="1"/>
  </r>
  <r>
    <x v="40"/>
    <x v="0"/>
    <x v="5"/>
    <n v="18"/>
    <n v="244.76"/>
    <x v="4"/>
    <n v="2022"/>
    <x v="5"/>
    <n v="4"/>
    <d v="2022-04-01T00:00:00"/>
    <x v="5"/>
    <n v="1623.23"/>
    <n v="1402.9947272727277"/>
    <n v="1.156975125028008"/>
    <n v="1922.5800000000002"/>
    <n v="-0.15570223345712539"/>
    <x v="1"/>
  </r>
  <r>
    <x v="10"/>
    <x v="1"/>
    <x v="1"/>
    <n v="19"/>
    <n v="316.79000000000002"/>
    <x v="4"/>
    <n v="2022"/>
    <x v="5"/>
    <n v="4"/>
    <d v="2022-04-01T00:00:00"/>
    <x v="5"/>
    <n v="2185.4700000000003"/>
    <n v="841.31976923076911"/>
    <n v="2.5976686628892689"/>
    <n v="274.01"/>
    <n v="6.9758767928177816"/>
    <x v="0"/>
  </r>
  <r>
    <x v="6"/>
    <x v="6"/>
    <x v="1"/>
    <n v="20"/>
    <n v="219.72"/>
    <x v="3"/>
    <n v="2022"/>
    <x v="3"/>
    <n v="6"/>
    <d v="2022-06-01T00:00:00"/>
    <x v="3"/>
    <n v="761.09999999999991"/>
    <n v="1402.1996153846153"/>
    <n v="0.54279005046741124"/>
    <n v="2645.1499999999996"/>
    <n v="-0.71226584503714341"/>
    <x v="1"/>
  </r>
  <r>
    <x v="65"/>
    <x v="3"/>
    <x v="2"/>
    <n v="18"/>
    <n v="371.23"/>
    <x v="4"/>
    <n v="2022"/>
    <x v="1"/>
    <n v="3"/>
    <d v="2022-03-01T00:00:00"/>
    <x v="1"/>
    <n v="522.87"/>
    <n v="3792.3947727272725"/>
    <n v="0.13787330468868406"/>
    <n v="738.18000000000006"/>
    <n v="-0.29167682679021384"/>
    <x v="1"/>
  </r>
  <r>
    <x v="72"/>
    <x v="3"/>
    <x v="3"/>
    <n v="12"/>
    <n v="242.44"/>
    <x v="3"/>
    <n v="2022"/>
    <x v="6"/>
    <n v="5"/>
    <d v="2022-05-01T00:00:00"/>
    <x v="6"/>
    <n v="1584.09"/>
    <n v="709.47177777777802"/>
    <n v="2.2327738038597094"/>
    <n v="377.24"/>
    <n v="3.1991570353090868"/>
    <x v="0"/>
  </r>
  <r>
    <x v="51"/>
    <x v="2"/>
    <x v="3"/>
    <n v="18"/>
    <n v="214.09"/>
    <x v="2"/>
    <n v="2022"/>
    <x v="4"/>
    <n v="7"/>
    <d v="2022-07-01T00:00:00"/>
    <x v="4"/>
    <n v="1767.0500000000002"/>
    <n v="709.47177777777802"/>
    <n v="2.4906558024545955"/>
    <n v="1655.98"/>
    <n v="6.7072066087754775E-2"/>
    <x v="0"/>
  </r>
  <r>
    <x v="73"/>
    <x v="1"/>
    <x v="6"/>
    <n v="20"/>
    <n v="183.48"/>
    <x v="4"/>
    <n v="2022"/>
    <x v="1"/>
    <n v="3"/>
    <d v="2022-03-01T00:00:00"/>
    <x v="1"/>
    <n v="760.68999999999994"/>
    <n v="1313.9597333333331"/>
    <n v="0.57892946085207286"/>
    <n v="930.81000000000006"/>
    <n v="-0.18276554828590164"/>
    <x v="1"/>
  </r>
  <r>
    <x v="74"/>
    <x v="0"/>
    <x v="5"/>
    <n v="11"/>
    <n v="272.97000000000003"/>
    <x v="0"/>
    <n v="2022"/>
    <x v="3"/>
    <n v="6"/>
    <d v="2022-06-01T00:00:00"/>
    <x v="3"/>
    <n v="2252.73"/>
    <n v="765.26985123966961"/>
    <n v="2.9437067151551526"/>
    <n v="185.17000000000002"/>
    <n v="11.165739590646432"/>
    <x v="0"/>
  </r>
  <r>
    <x v="1"/>
    <x v="2"/>
    <x v="2"/>
    <n v="13"/>
    <n v="129.30000000000001"/>
    <x v="2"/>
    <n v="2022"/>
    <x v="0"/>
    <n v="2"/>
    <d v="2022-02-01T00:00:00"/>
    <x v="0"/>
    <n v="738.18000000000006"/>
    <n v="1264.1315909090908"/>
    <n v="0.58394237222498602"/>
    <n v="882.82999999999993"/>
    <n v="-0.16384807947169883"/>
    <x v="1"/>
  </r>
  <r>
    <x v="61"/>
    <x v="3"/>
    <x v="2"/>
    <n v="5"/>
    <n v="59.7"/>
    <x v="2"/>
    <n v="2022"/>
    <x v="6"/>
    <n v="5"/>
    <d v="2022-05-01T00:00:00"/>
    <x v="6"/>
    <n v="1938.8200000000002"/>
    <n v="758.4789545454546"/>
    <n v="2.5561948533719128"/>
    <n v="972.89"/>
    <n v="0.99284605659427083"/>
    <x v="0"/>
  </r>
  <r>
    <x v="75"/>
    <x v="2"/>
    <x v="3"/>
    <n v="20"/>
    <n v="210.82"/>
    <x v="2"/>
    <n v="2022"/>
    <x v="7"/>
    <n v="8"/>
    <d v="2022-08-01T00:00:00"/>
    <x v="7"/>
    <n v="753.67000000000007"/>
    <n v="1418.943555555556"/>
    <n v="0.53114868244700353"/>
    <n v="1767.0500000000002"/>
    <n v="-0.57348688492119637"/>
    <x v="1"/>
  </r>
  <r>
    <x v="73"/>
    <x v="0"/>
    <x v="0"/>
    <n v="6"/>
    <n v="115.79"/>
    <x v="1"/>
    <n v="2022"/>
    <x v="1"/>
    <n v="3"/>
    <d v="2022-03-01T00:00:00"/>
    <x v="1"/>
    <n v="1795.9"/>
    <n v="862.01874999999984"/>
    <n v="2.0833653560319894"/>
    <n v="837.85"/>
    <n v="1.1434624336098347"/>
    <x v="0"/>
  </r>
  <r>
    <x v="76"/>
    <x v="1"/>
    <x v="5"/>
    <n v="18"/>
    <n v="322.41000000000003"/>
    <x v="2"/>
    <n v="2022"/>
    <x v="3"/>
    <n v="6"/>
    <d v="2022-06-01T00:00:00"/>
    <x v="3"/>
    <n v="2252.73"/>
    <n v="765.26985123966961"/>
    <n v="2.9437067151551526"/>
    <n v="185.17000000000002"/>
    <n v="11.165739590646432"/>
    <x v="0"/>
  </r>
  <r>
    <x v="77"/>
    <x v="1"/>
    <x v="0"/>
    <n v="4"/>
    <n v="73.39"/>
    <x v="2"/>
    <n v="2022"/>
    <x v="4"/>
    <n v="7"/>
    <d v="2022-07-01T00:00:00"/>
    <x v="4"/>
    <n v="537.31000000000006"/>
    <n v="862.01874999999984"/>
    <n v="0.62331590815165006"/>
    <n v="1013.7"/>
    <n v="-0.46995166222748347"/>
    <x v="1"/>
  </r>
  <r>
    <x v="76"/>
    <x v="5"/>
    <x v="1"/>
    <n v="4"/>
    <n v="50.12"/>
    <x v="3"/>
    <n v="2022"/>
    <x v="3"/>
    <n v="6"/>
    <d v="2022-06-01T00:00:00"/>
    <x v="3"/>
    <n v="761.09999999999991"/>
    <n v="1402.1996153846153"/>
    <n v="0.54279005046741124"/>
    <n v="2645.1499999999996"/>
    <n v="-0.71226584503714341"/>
    <x v="1"/>
  </r>
  <r>
    <x v="78"/>
    <x v="6"/>
    <x v="6"/>
    <n v="3"/>
    <n v="45.16"/>
    <x v="2"/>
    <n v="2022"/>
    <x v="0"/>
    <n v="2"/>
    <d v="2022-02-01T00:00:00"/>
    <x v="0"/>
    <n v="930.81000000000006"/>
    <n v="1094.9664444444443"/>
    <n v="0.85008084468950762"/>
    <n v="1214.3899999999999"/>
    <n v="-0.23351641564900885"/>
    <x v="1"/>
  </r>
  <r>
    <x v="25"/>
    <x v="3"/>
    <x v="0"/>
    <n v="16"/>
    <n v="212.81"/>
    <x v="1"/>
    <n v="2022"/>
    <x v="7"/>
    <n v="8"/>
    <d v="2022-08-01T00:00:00"/>
    <x v="7"/>
    <n v="1020.76"/>
    <n v="1206.8262499999996"/>
    <n v="0.8458218405507838"/>
    <n v="537.31000000000006"/>
    <n v="0.89975991513279086"/>
    <x v="0"/>
  </r>
  <r>
    <x v="79"/>
    <x v="6"/>
    <x v="3"/>
    <n v="19"/>
    <n v="192.59"/>
    <x v="3"/>
    <n v="2022"/>
    <x v="6"/>
    <n v="5"/>
    <d v="2022-05-01T00:00:00"/>
    <x v="6"/>
    <n v="1584.09"/>
    <n v="709.47177777777802"/>
    <n v="2.2327738038597094"/>
    <n v="377.24"/>
    <n v="3.1991570353090868"/>
    <x v="0"/>
  </r>
  <r>
    <x v="14"/>
    <x v="6"/>
    <x v="1"/>
    <n v="2"/>
    <n v="36.56"/>
    <x v="3"/>
    <n v="2022"/>
    <x v="3"/>
    <n v="6"/>
    <d v="2022-06-01T00:00:00"/>
    <x v="3"/>
    <n v="761.09999999999991"/>
    <n v="1402.1996153846153"/>
    <n v="0.54279005046741124"/>
    <n v="2645.1499999999996"/>
    <n v="-0.71226584503714341"/>
    <x v="1"/>
  </r>
  <r>
    <x v="80"/>
    <x v="2"/>
    <x v="3"/>
    <n v="15"/>
    <n v="244.66"/>
    <x v="1"/>
    <n v="2022"/>
    <x v="1"/>
    <n v="3"/>
    <d v="2022-03-01T00:00:00"/>
    <x v="1"/>
    <n v="1095.8999999999999"/>
    <n v="1418.943555555556"/>
    <n v="0.77233516140176861"/>
    <n v="519.11"/>
    <n v="1.1111132515266511"/>
    <x v="0"/>
  </r>
  <r>
    <x v="81"/>
    <x v="3"/>
    <x v="4"/>
    <n v="17"/>
    <n v="281.12"/>
    <x v="2"/>
    <n v="2022"/>
    <x v="6"/>
    <n v="5"/>
    <d v="2022-05-01T00:00:00"/>
    <x v="6"/>
    <n v="1280.45"/>
    <n v="1556.7479999999998"/>
    <n v="0.82251591137422386"/>
    <n v="740.37"/>
    <n v="0.72947310128719434"/>
    <x v="0"/>
  </r>
  <r>
    <x v="82"/>
    <x v="5"/>
    <x v="6"/>
    <n v="19"/>
    <n v="161.94999999999999"/>
    <x v="2"/>
    <n v="2022"/>
    <x v="2"/>
    <n v="1"/>
    <d v="2022-01-01T00:00:00"/>
    <x v="2"/>
    <n v="1214.3899999999999"/>
    <n v="821.22483333333321"/>
    <n v="1.4787546000902312"/>
    <n v="0"/>
    <n v="0"/>
    <x v="2"/>
  </r>
  <r>
    <x v="83"/>
    <x v="0"/>
    <x v="2"/>
    <n v="9"/>
    <n v="180.5"/>
    <x v="1"/>
    <n v="2022"/>
    <x v="2"/>
    <n v="1"/>
    <d v="2022-01-01T00:00:00"/>
    <x v="2"/>
    <n v="882.82999999999993"/>
    <n v="1896.1973863636363"/>
    <n v="0.46557916720527454"/>
    <n v="0"/>
    <n v="0"/>
    <x v="2"/>
  </r>
  <r>
    <x v="84"/>
    <x v="4"/>
    <x v="1"/>
    <n v="18"/>
    <n v="426.02"/>
    <x v="2"/>
    <n v="2022"/>
    <x v="6"/>
    <n v="5"/>
    <d v="2022-05-01T00:00:00"/>
    <x v="6"/>
    <n v="2645.1499999999996"/>
    <n v="764.83615384615382"/>
    <n v="3.4584531428048435"/>
    <n v="2185.4700000000003"/>
    <n v="0.21033461909795118"/>
    <x v="0"/>
  </r>
  <r>
    <x v="85"/>
    <x v="6"/>
    <x v="3"/>
    <n v="10"/>
    <n v="101.77"/>
    <x v="3"/>
    <n v="2022"/>
    <x v="4"/>
    <n v="7"/>
    <d v="2022-07-01T00:00:00"/>
    <x v="4"/>
    <n v="1767.0500000000002"/>
    <n v="709.47177777777802"/>
    <n v="2.4906558024545955"/>
    <n v="1655.98"/>
    <n v="6.7072066087754775E-2"/>
    <x v="0"/>
  </r>
  <r>
    <x v="13"/>
    <x v="4"/>
    <x v="3"/>
    <n v="12"/>
    <n v="132.47999999999999"/>
    <x v="1"/>
    <n v="2022"/>
    <x v="3"/>
    <n v="6"/>
    <d v="2022-06-01T00:00:00"/>
    <x v="3"/>
    <n v="1655.98"/>
    <n v="591.22648148148176"/>
    <n v="2.8009232533875736"/>
    <n v="1584.09"/>
    <n v="4.5382522457688708E-2"/>
    <x v="0"/>
  </r>
  <r>
    <x v="86"/>
    <x v="4"/>
    <x v="0"/>
    <n v="9"/>
    <n v="82.8"/>
    <x v="0"/>
    <n v="2022"/>
    <x v="6"/>
    <n v="5"/>
    <d v="2022-05-01T00:00:00"/>
    <x v="6"/>
    <n v="459.62"/>
    <n v="1508.5328124999996"/>
    <n v="0.30468014761859885"/>
    <n v="574.2399999999999"/>
    <n v="-0.1996029534689327"/>
    <x v="1"/>
  </r>
  <r>
    <x v="61"/>
    <x v="4"/>
    <x v="3"/>
    <n v="1"/>
    <n v="8.51"/>
    <x v="1"/>
    <n v="2022"/>
    <x v="6"/>
    <n v="5"/>
    <d v="2022-05-01T00:00:00"/>
    <x v="6"/>
    <n v="1584.09"/>
    <n v="709.47177777777802"/>
    <n v="2.2327738038597094"/>
    <n v="377.24"/>
    <n v="3.1991570353090868"/>
    <x v="0"/>
  </r>
  <r>
    <x v="42"/>
    <x v="3"/>
    <x v="3"/>
    <n v="11"/>
    <n v="90.19"/>
    <x v="3"/>
    <n v="2022"/>
    <x v="2"/>
    <n v="1"/>
    <d v="2022-01-01T00:00:00"/>
    <x v="2"/>
    <n v="1368.74"/>
    <n v="1418.943555555556"/>
    <n v="0.9646190608787818"/>
    <n v="0"/>
    <n v="0"/>
    <x v="2"/>
  </r>
  <r>
    <x v="67"/>
    <x v="5"/>
    <x v="2"/>
    <n v="6"/>
    <n v="60.03"/>
    <x v="2"/>
    <n v="2022"/>
    <x v="4"/>
    <n v="7"/>
    <d v="2022-07-01T00:00:00"/>
    <x v="4"/>
    <n v="1653.05"/>
    <n v="842.75439393939394"/>
    <n v="1.9614848784981569"/>
    <n v="585.20999999999992"/>
    <n v="1.8247124963688253"/>
    <x v="0"/>
  </r>
  <r>
    <x v="87"/>
    <x v="5"/>
    <x v="4"/>
    <n v="8"/>
    <n v="142.54"/>
    <x v="4"/>
    <n v="2022"/>
    <x v="6"/>
    <n v="5"/>
    <d v="2022-05-01T00:00:00"/>
    <x v="6"/>
    <n v="1280.45"/>
    <n v="1556.7479999999998"/>
    <n v="0.82251591137422386"/>
    <n v="740.37"/>
    <n v="0.72947310128719434"/>
    <x v="0"/>
  </r>
  <r>
    <x v="88"/>
    <x v="6"/>
    <x v="1"/>
    <n v="4"/>
    <n v="96.7"/>
    <x v="4"/>
    <n v="2022"/>
    <x v="5"/>
    <n v="4"/>
    <d v="2022-04-01T00:00:00"/>
    <x v="5"/>
    <n v="2185.4700000000003"/>
    <n v="841.31976923076911"/>
    <n v="2.5976686628892689"/>
    <n v="274.01"/>
    <n v="6.9758767928177816"/>
    <x v="0"/>
  </r>
  <r>
    <x v="89"/>
    <x v="6"/>
    <x v="2"/>
    <n v="15"/>
    <n v="151.63999999999999"/>
    <x v="0"/>
    <n v="2022"/>
    <x v="1"/>
    <n v="3"/>
    <d v="2022-03-01T00:00:00"/>
    <x v="1"/>
    <n v="522.87"/>
    <n v="3792.3947727272725"/>
    <n v="0.13787330468868406"/>
    <n v="738.18000000000006"/>
    <n v="-0.29167682679021384"/>
    <x v="1"/>
  </r>
  <r>
    <x v="90"/>
    <x v="1"/>
    <x v="0"/>
    <n v="15"/>
    <n v="197.97"/>
    <x v="1"/>
    <n v="2022"/>
    <x v="7"/>
    <n v="8"/>
    <d v="2022-08-01T00:00:00"/>
    <x v="7"/>
    <n v="1020.76"/>
    <n v="1206.8262499999996"/>
    <n v="0.8458218405507838"/>
    <n v="537.31000000000006"/>
    <n v="0.89975991513279086"/>
    <x v="0"/>
  </r>
  <r>
    <x v="91"/>
    <x v="6"/>
    <x v="0"/>
    <n v="9"/>
    <n v="182.35"/>
    <x v="4"/>
    <n v="2022"/>
    <x v="1"/>
    <n v="3"/>
    <d v="2022-03-01T00:00:00"/>
    <x v="1"/>
    <n v="1795.9"/>
    <n v="862.01874999999984"/>
    <n v="2.0833653560319894"/>
    <n v="837.85"/>
    <n v="1.1434624336098347"/>
    <x v="0"/>
  </r>
  <r>
    <x v="92"/>
    <x v="3"/>
    <x v="0"/>
    <n v="19"/>
    <n v="443.56"/>
    <x v="1"/>
    <n v="2022"/>
    <x v="1"/>
    <n v="3"/>
    <d v="2022-03-01T00:00:00"/>
    <x v="1"/>
    <n v="1795.9"/>
    <n v="862.01874999999984"/>
    <n v="2.0833653560319894"/>
    <n v="837.85"/>
    <n v="1.1434624336098347"/>
    <x v="0"/>
  </r>
  <r>
    <x v="93"/>
    <x v="1"/>
    <x v="5"/>
    <n v="9"/>
    <n v="89.01"/>
    <x v="1"/>
    <n v="2022"/>
    <x v="1"/>
    <n v="3"/>
    <d v="2022-03-01T00:00:00"/>
    <x v="1"/>
    <n v="1922.5800000000002"/>
    <n v="841.79683636363654"/>
    <n v="2.2839002440364253"/>
    <n v="1770.3600000000001"/>
    <n v="8.5982512031451241E-2"/>
    <x v="0"/>
  </r>
  <r>
    <x v="94"/>
    <x v="5"/>
    <x v="6"/>
    <n v="1"/>
    <n v="10.32"/>
    <x v="3"/>
    <n v="2022"/>
    <x v="6"/>
    <n v="5"/>
    <d v="2022-05-01T00:00:00"/>
    <x v="6"/>
    <n v="791.69999999999993"/>
    <n v="1094.9664444444443"/>
    <n v="0.72303585558887751"/>
    <n v="865.70999999999992"/>
    <n v="-8.5490522230308064E-2"/>
    <x v="1"/>
  </r>
  <r>
    <x v="95"/>
    <x v="6"/>
    <x v="4"/>
    <n v="20"/>
    <n v="414.06"/>
    <x v="3"/>
    <n v="2022"/>
    <x v="6"/>
    <n v="5"/>
    <d v="2022-05-01T00:00:00"/>
    <x v="6"/>
    <n v="1280.45"/>
    <n v="1556.7479999999998"/>
    <n v="0.82251591137422386"/>
    <n v="740.37"/>
    <n v="0.72947310128719434"/>
    <x v="0"/>
  </r>
  <r>
    <x v="96"/>
    <x v="2"/>
    <x v="4"/>
    <n v="10"/>
    <n v="159.21"/>
    <x v="0"/>
    <n v="2022"/>
    <x v="0"/>
    <n v="2"/>
    <d v="2022-02-01T00:00:00"/>
    <x v="0"/>
    <n v="1484.3899999999999"/>
    <n v="1111.962857142857"/>
    <n v="1.3349276825793257"/>
    <n v="680.2299999999999"/>
    <n v="1.1821883774605648"/>
    <x v="0"/>
  </r>
  <r>
    <x v="97"/>
    <x v="4"/>
    <x v="0"/>
    <n v="18"/>
    <n v="195.1"/>
    <x v="1"/>
    <n v="2022"/>
    <x v="0"/>
    <n v="2"/>
    <d v="2022-02-01T00:00:00"/>
    <x v="0"/>
    <n v="837.85"/>
    <n v="862.01874999999984"/>
    <n v="0.97196261682243013"/>
    <n v="656.7700000000001"/>
    <n v="0.27571295887449165"/>
    <x v="0"/>
  </r>
  <r>
    <x v="98"/>
    <x v="5"/>
    <x v="6"/>
    <n v="19"/>
    <n v="386.61"/>
    <x v="3"/>
    <n v="2022"/>
    <x v="7"/>
    <n v="8"/>
    <d v="2022-08-01T00:00:00"/>
    <x v="7"/>
    <n v="896.81"/>
    <n v="1094.9664444444443"/>
    <n v="0.81902966483600015"/>
    <n v="874.87"/>
    <n v="2.5078011590293346E-2"/>
    <x v="0"/>
  </r>
  <r>
    <x v="99"/>
    <x v="3"/>
    <x v="2"/>
    <n v="1"/>
    <n v="22.99"/>
    <x v="3"/>
    <n v="2022"/>
    <x v="4"/>
    <n v="7"/>
    <d v="2022-07-01T00:00:00"/>
    <x v="4"/>
    <n v="1653.05"/>
    <n v="842.75439393939394"/>
    <n v="1.9614848784981569"/>
    <n v="585.20999999999992"/>
    <n v="1.8247124963688253"/>
    <x v="0"/>
  </r>
  <r>
    <x v="43"/>
    <x v="2"/>
    <x v="3"/>
    <n v="17"/>
    <n v="290.44"/>
    <x v="2"/>
    <n v="2022"/>
    <x v="6"/>
    <n v="5"/>
    <d v="2022-05-01T00:00:00"/>
    <x v="6"/>
    <n v="1584.09"/>
    <n v="709.47177777777802"/>
    <n v="2.2327738038597094"/>
    <n v="377.24"/>
    <n v="3.1991570353090868"/>
    <x v="0"/>
  </r>
  <r>
    <x v="100"/>
    <x v="0"/>
    <x v="6"/>
    <n v="5"/>
    <n v="79.459999999999994"/>
    <x v="4"/>
    <n v="2022"/>
    <x v="6"/>
    <n v="5"/>
    <d v="2022-05-01T00:00:00"/>
    <x v="6"/>
    <n v="791.69999999999993"/>
    <n v="1094.9664444444443"/>
    <n v="0.72303585558887751"/>
    <n v="865.70999999999992"/>
    <n v="-8.5490522230308064E-2"/>
    <x v="1"/>
  </r>
  <r>
    <x v="101"/>
    <x v="4"/>
    <x v="1"/>
    <n v="2"/>
    <n v="48.19"/>
    <x v="2"/>
    <n v="2022"/>
    <x v="7"/>
    <n v="8"/>
    <d v="2022-08-01T00:00:00"/>
    <x v="7"/>
    <n v="1721.52"/>
    <n v="841.31976923076911"/>
    <n v="2.046213654974506"/>
    <n v="1166.76"/>
    <n v="0.47547053378586857"/>
    <x v="0"/>
  </r>
  <r>
    <x v="82"/>
    <x v="2"/>
    <x v="4"/>
    <n v="19"/>
    <n v="166.83"/>
    <x v="4"/>
    <n v="2022"/>
    <x v="2"/>
    <n v="1"/>
    <d v="2022-01-01T00:00:00"/>
    <x v="2"/>
    <n v="680.2299999999999"/>
    <n v="1556.7479999999998"/>
    <n v="0.43695575648724133"/>
    <n v="0"/>
    <n v="0"/>
    <x v="2"/>
  </r>
  <r>
    <x v="102"/>
    <x v="3"/>
    <x v="5"/>
    <n v="3"/>
    <n v="40.32"/>
    <x v="3"/>
    <n v="2022"/>
    <x v="5"/>
    <n v="4"/>
    <d v="2022-04-01T00:00:00"/>
    <x v="5"/>
    <n v="1623.23"/>
    <n v="1402.9947272727277"/>
    <n v="1.156975125028008"/>
    <n v="1922.5800000000002"/>
    <n v="-0.15570223345712539"/>
    <x v="1"/>
  </r>
  <r>
    <x v="103"/>
    <x v="6"/>
    <x v="5"/>
    <n v="15"/>
    <n v="176.45"/>
    <x v="3"/>
    <n v="2022"/>
    <x v="3"/>
    <n v="6"/>
    <d v="2022-06-01T00:00:00"/>
    <x v="3"/>
    <n v="2252.73"/>
    <n v="765.26985123966961"/>
    <n v="2.9437067151551526"/>
    <n v="185.17000000000002"/>
    <n v="11.165739590646432"/>
    <x v="0"/>
  </r>
  <r>
    <x v="32"/>
    <x v="1"/>
    <x v="1"/>
    <n v="1"/>
    <n v="9.4"/>
    <x v="2"/>
    <n v="2022"/>
    <x v="1"/>
    <n v="3"/>
    <d v="2022-03-01T00:00:00"/>
    <x v="1"/>
    <n v="274.01"/>
    <n v="2804.3992307692306"/>
    <n v="9.770720124068806E-2"/>
    <n v="1170.8000000000002"/>
    <n v="-0.76596344379911174"/>
    <x v="1"/>
  </r>
  <r>
    <x v="104"/>
    <x v="6"/>
    <x v="5"/>
    <n v="11"/>
    <n v="176.73"/>
    <x v="0"/>
    <n v="2022"/>
    <x v="2"/>
    <n v="1"/>
    <d v="2022-01-01T00:00:00"/>
    <x v="2"/>
    <n v="241.89999999999998"/>
    <n v="4208.9841818181831"/>
    <n v="5.7472299621592976E-2"/>
    <n v="0"/>
    <n v="0"/>
    <x v="2"/>
  </r>
  <r>
    <x v="44"/>
    <x v="0"/>
    <x v="0"/>
    <n v="16"/>
    <n v="235.83"/>
    <x v="1"/>
    <n v="2022"/>
    <x v="1"/>
    <n v="3"/>
    <d v="2022-03-01T00:00:00"/>
    <x v="1"/>
    <n v="1795.9"/>
    <n v="862.01874999999984"/>
    <n v="2.0833653560319894"/>
    <n v="837.85"/>
    <n v="1.1434624336098347"/>
    <x v="0"/>
  </r>
  <r>
    <x v="96"/>
    <x v="3"/>
    <x v="6"/>
    <n v="11"/>
    <n v="106.76"/>
    <x v="1"/>
    <n v="2022"/>
    <x v="0"/>
    <n v="2"/>
    <d v="2022-02-01T00:00:00"/>
    <x v="0"/>
    <n v="930.81000000000006"/>
    <n v="1094.9664444444443"/>
    <n v="0.85008084468950762"/>
    <n v="1214.3899999999999"/>
    <n v="-0.23351641564900885"/>
    <x v="1"/>
  </r>
  <r>
    <x v="105"/>
    <x v="2"/>
    <x v="0"/>
    <n v="12"/>
    <n v="100.6"/>
    <x v="3"/>
    <n v="2022"/>
    <x v="4"/>
    <n v="7"/>
    <d v="2022-07-01T00:00:00"/>
    <x v="4"/>
    <n v="537.31000000000006"/>
    <n v="862.01874999999984"/>
    <n v="0.62331590815165006"/>
    <n v="1013.7"/>
    <n v="-0.46995166222748347"/>
    <x v="1"/>
  </r>
  <r>
    <x v="106"/>
    <x v="5"/>
    <x v="5"/>
    <n v="11"/>
    <n v="214"/>
    <x v="1"/>
    <n v="2022"/>
    <x v="1"/>
    <n v="3"/>
    <d v="2022-03-01T00:00:00"/>
    <x v="1"/>
    <n v="1922.5800000000002"/>
    <n v="841.79683636363654"/>
    <n v="2.2839002440364253"/>
    <n v="1770.3600000000001"/>
    <n v="8.5982512031451241E-2"/>
    <x v="0"/>
  </r>
  <r>
    <x v="107"/>
    <x v="4"/>
    <x v="1"/>
    <n v="13"/>
    <n v="315.98"/>
    <x v="4"/>
    <n v="2022"/>
    <x v="6"/>
    <n v="5"/>
    <d v="2022-05-01T00:00:00"/>
    <x v="6"/>
    <n v="2645.1499999999996"/>
    <n v="764.83615384615382"/>
    <n v="3.4584531428048435"/>
    <n v="2185.4700000000003"/>
    <n v="0.21033461909795118"/>
    <x v="0"/>
  </r>
  <r>
    <x v="17"/>
    <x v="4"/>
    <x v="3"/>
    <n v="1"/>
    <n v="13.06"/>
    <x v="4"/>
    <n v="2022"/>
    <x v="0"/>
    <n v="2"/>
    <d v="2022-02-01T00:00:00"/>
    <x v="0"/>
    <n v="519.11"/>
    <n v="1773.6794444444454"/>
    <n v="0.29267408021554675"/>
    <n v="1368.74"/>
    <n v="-0.62073878165319929"/>
    <x v="1"/>
  </r>
  <r>
    <x v="78"/>
    <x v="2"/>
    <x v="2"/>
    <n v="3"/>
    <n v="44.25"/>
    <x v="4"/>
    <n v="2022"/>
    <x v="0"/>
    <n v="2"/>
    <d v="2022-02-01T00:00:00"/>
    <x v="0"/>
    <n v="738.18000000000006"/>
    <n v="1264.1315909090908"/>
    <n v="0.58394237222498602"/>
    <n v="882.82999999999993"/>
    <n v="-0.16384807947169883"/>
    <x v="1"/>
  </r>
  <r>
    <x v="108"/>
    <x v="0"/>
    <x v="2"/>
    <n v="5"/>
    <n v="97.26"/>
    <x v="1"/>
    <n v="2022"/>
    <x v="4"/>
    <n v="7"/>
    <d v="2022-07-01T00:00:00"/>
    <x v="4"/>
    <n v="1653.05"/>
    <n v="842.75439393939394"/>
    <n v="1.9614848784981569"/>
    <n v="585.20999999999992"/>
    <n v="1.8247124963688253"/>
    <x v="0"/>
  </r>
  <r>
    <x v="109"/>
    <x v="1"/>
    <x v="5"/>
    <n v="20"/>
    <n v="380.27"/>
    <x v="1"/>
    <n v="2022"/>
    <x v="4"/>
    <n v="7"/>
    <d v="2022-07-01T00:00:00"/>
    <x v="4"/>
    <n v="1698.9899999999998"/>
    <n v="1202.5669090909096"/>
    <n v="1.4128028861898132"/>
    <n v="2252.73"/>
    <n v="-0.24580841911813675"/>
    <x v="1"/>
  </r>
  <r>
    <x v="110"/>
    <x v="0"/>
    <x v="5"/>
    <n v="9"/>
    <n v="79.13"/>
    <x v="2"/>
    <n v="2022"/>
    <x v="5"/>
    <n v="4"/>
    <d v="2022-04-01T00:00:00"/>
    <x v="5"/>
    <n v="1623.23"/>
    <n v="1402.9947272727277"/>
    <n v="1.156975125028008"/>
    <n v="1922.5800000000002"/>
    <n v="-0.15570223345712539"/>
    <x v="1"/>
  </r>
  <r>
    <x v="111"/>
    <x v="4"/>
    <x v="3"/>
    <n v="3"/>
    <n v="56.2"/>
    <x v="0"/>
    <n v="2022"/>
    <x v="3"/>
    <n v="6"/>
    <d v="2022-06-01T00:00:00"/>
    <x v="3"/>
    <n v="1655.98"/>
    <n v="591.22648148148176"/>
    <n v="2.8009232533875736"/>
    <n v="1584.09"/>
    <n v="4.5382522457688708E-2"/>
    <x v="0"/>
  </r>
  <r>
    <x v="112"/>
    <x v="5"/>
    <x v="3"/>
    <n v="7"/>
    <n v="156.91999999999999"/>
    <x v="1"/>
    <n v="2022"/>
    <x v="3"/>
    <n v="6"/>
    <d v="2022-06-01T00:00:00"/>
    <x v="3"/>
    <n v="1655.98"/>
    <n v="591.22648148148176"/>
    <n v="2.8009232533875736"/>
    <n v="1584.09"/>
    <n v="4.5382522457688708E-2"/>
    <x v="0"/>
  </r>
  <r>
    <x v="94"/>
    <x v="1"/>
    <x v="2"/>
    <n v="13"/>
    <n v="187.47"/>
    <x v="4"/>
    <n v="2022"/>
    <x v="6"/>
    <n v="5"/>
    <d v="2022-05-01T00:00:00"/>
    <x v="6"/>
    <n v="1938.8200000000002"/>
    <n v="758.4789545454546"/>
    <n v="2.5561948533719128"/>
    <n v="972.89"/>
    <n v="0.99284605659427083"/>
    <x v="0"/>
  </r>
  <r>
    <x v="95"/>
    <x v="4"/>
    <x v="0"/>
    <n v="14"/>
    <n v="234.19"/>
    <x v="3"/>
    <n v="2022"/>
    <x v="6"/>
    <n v="5"/>
    <d v="2022-05-01T00:00:00"/>
    <x v="6"/>
    <n v="459.62"/>
    <n v="1508.5328124999996"/>
    <n v="0.30468014761859885"/>
    <n v="574.2399999999999"/>
    <n v="-0.1996029534689327"/>
    <x v="1"/>
  </r>
  <r>
    <x v="23"/>
    <x v="1"/>
    <x v="1"/>
    <n v="12"/>
    <n v="248.77"/>
    <x v="3"/>
    <n v="2022"/>
    <x v="5"/>
    <n v="4"/>
    <d v="2022-04-01T00:00:00"/>
    <x v="5"/>
    <n v="2185.4700000000003"/>
    <n v="841.31976923076911"/>
    <n v="2.5976686628892689"/>
    <n v="274.01"/>
    <n v="6.9758767928177816"/>
    <x v="0"/>
  </r>
  <r>
    <x v="113"/>
    <x v="3"/>
    <x v="6"/>
    <n v="11"/>
    <n v="224.04"/>
    <x v="1"/>
    <n v="2022"/>
    <x v="2"/>
    <n v="1"/>
    <d v="2022-01-01T00:00:00"/>
    <x v="2"/>
    <n v="1214.3899999999999"/>
    <n v="821.22483333333321"/>
    <n v="1.4787546000902312"/>
    <n v="0"/>
    <n v="0"/>
    <x v="2"/>
  </r>
  <r>
    <x v="114"/>
    <x v="3"/>
    <x v="6"/>
    <n v="8"/>
    <n v="88.55"/>
    <x v="1"/>
    <n v="2022"/>
    <x v="6"/>
    <n v="5"/>
    <d v="2022-05-01T00:00:00"/>
    <x v="6"/>
    <n v="791.69999999999993"/>
    <n v="1094.9664444444443"/>
    <n v="0.72303585558887751"/>
    <n v="865.70999999999992"/>
    <n v="-8.5490522230308064E-2"/>
    <x v="1"/>
  </r>
  <r>
    <x v="115"/>
    <x v="2"/>
    <x v="5"/>
    <n v="20"/>
    <n v="302.63"/>
    <x v="2"/>
    <n v="2022"/>
    <x v="1"/>
    <n v="3"/>
    <d v="2022-03-01T00:00:00"/>
    <x v="1"/>
    <n v="1922.5800000000002"/>
    <n v="841.79683636363654"/>
    <n v="2.2839002440364253"/>
    <n v="1770.3600000000001"/>
    <n v="8.5982512031451241E-2"/>
    <x v="0"/>
  </r>
  <r>
    <x v="116"/>
    <x v="0"/>
    <x v="0"/>
    <n v="6"/>
    <n v="127.61"/>
    <x v="3"/>
    <n v="2022"/>
    <x v="0"/>
    <n v="2"/>
    <d v="2022-02-01T00:00:00"/>
    <x v="0"/>
    <n v="837.85"/>
    <n v="862.01874999999984"/>
    <n v="0.97196261682243013"/>
    <n v="656.7700000000001"/>
    <n v="0.27571295887449165"/>
    <x v="0"/>
  </r>
  <r>
    <x v="117"/>
    <x v="3"/>
    <x v="6"/>
    <n v="7"/>
    <n v="85.93"/>
    <x v="1"/>
    <n v="2022"/>
    <x v="4"/>
    <n v="7"/>
    <d v="2022-07-01T00:00:00"/>
    <x v="4"/>
    <n v="874.87"/>
    <n v="938.54266666666649"/>
    <n v="0.9321579413189528"/>
    <n v="704.09"/>
    <n v="0.24255421892087653"/>
    <x v="0"/>
  </r>
  <r>
    <x v="118"/>
    <x v="2"/>
    <x v="4"/>
    <n v="9"/>
    <n v="112.85"/>
    <x v="3"/>
    <n v="2022"/>
    <x v="5"/>
    <n v="4"/>
    <d v="2022-04-01T00:00:00"/>
    <x v="5"/>
    <n v="740.37"/>
    <n v="1556.7479999999998"/>
    <n v="0.47558757101342036"/>
    <n v="690.2"/>
    <n v="7.2689075630252037E-2"/>
    <x v="0"/>
  </r>
  <r>
    <x v="71"/>
    <x v="6"/>
    <x v="1"/>
    <n v="2"/>
    <n v="18.27"/>
    <x v="3"/>
    <n v="2022"/>
    <x v="7"/>
    <n v="8"/>
    <d v="2022-08-01T00:00:00"/>
    <x v="7"/>
    <n v="1721.52"/>
    <n v="841.31976923076911"/>
    <n v="2.046213654974506"/>
    <n v="1166.76"/>
    <n v="0.47547053378586857"/>
    <x v="0"/>
  </r>
  <r>
    <x v="119"/>
    <x v="4"/>
    <x v="6"/>
    <n v="6"/>
    <n v="55.27"/>
    <x v="0"/>
    <n v="2022"/>
    <x v="7"/>
    <n v="8"/>
    <d v="2022-08-01T00:00:00"/>
    <x v="7"/>
    <n v="896.81"/>
    <n v="1094.9664444444443"/>
    <n v="0.81902966483600015"/>
    <n v="874.87"/>
    <n v="2.5078011590293346E-2"/>
    <x v="0"/>
  </r>
  <r>
    <x v="12"/>
    <x v="3"/>
    <x v="5"/>
    <n v="11"/>
    <n v="186.86"/>
    <x v="4"/>
    <n v="2022"/>
    <x v="3"/>
    <n v="6"/>
    <d v="2022-06-01T00:00:00"/>
    <x v="3"/>
    <n v="2252.73"/>
    <n v="765.26985123966961"/>
    <n v="2.9437067151551526"/>
    <n v="185.17000000000002"/>
    <n v="11.165739590646432"/>
    <x v="0"/>
  </r>
  <r>
    <x v="61"/>
    <x v="3"/>
    <x v="4"/>
    <n v="17"/>
    <n v="350.78"/>
    <x v="2"/>
    <n v="2022"/>
    <x v="6"/>
    <n v="5"/>
    <d v="2022-05-01T00:00:00"/>
    <x v="6"/>
    <n v="1280.45"/>
    <n v="1556.7479999999998"/>
    <n v="0.82251591137422386"/>
    <n v="740.37"/>
    <n v="0.72947310128719434"/>
    <x v="0"/>
  </r>
  <r>
    <x v="30"/>
    <x v="6"/>
    <x v="4"/>
    <n v="2"/>
    <n v="46.75"/>
    <x v="0"/>
    <n v="2022"/>
    <x v="3"/>
    <n v="6"/>
    <d v="2022-06-01T00:00:00"/>
    <x v="3"/>
    <n v="46.75"/>
    <n v="7783.74"/>
    <n v="6.0061101732586135E-3"/>
    <n v="1280.45"/>
    <n v="-0.96348939825842472"/>
    <x v="1"/>
  </r>
  <r>
    <x v="87"/>
    <x v="3"/>
    <x v="2"/>
    <n v="19"/>
    <n v="326.36"/>
    <x v="4"/>
    <n v="2022"/>
    <x v="6"/>
    <n v="5"/>
    <d v="2022-05-01T00:00:00"/>
    <x v="6"/>
    <n v="1938.8200000000002"/>
    <n v="758.4789545454546"/>
    <n v="2.5561948533719128"/>
    <n v="972.89"/>
    <n v="0.99284605659427083"/>
    <x v="0"/>
  </r>
  <r>
    <x v="61"/>
    <x v="4"/>
    <x v="5"/>
    <n v="1"/>
    <n v="12.41"/>
    <x v="0"/>
    <n v="2022"/>
    <x v="6"/>
    <n v="5"/>
    <d v="2022-05-01T00:00:00"/>
    <x v="6"/>
    <n v="185.17000000000002"/>
    <n v="2805.9894545454554"/>
    <n v="6.5990982147149893E-2"/>
    <n v="1623.23"/>
    <n v="-0.88592497674389947"/>
    <x v="1"/>
  </r>
  <r>
    <x v="45"/>
    <x v="4"/>
    <x v="1"/>
    <n v="15"/>
    <n v="223.3"/>
    <x v="2"/>
    <n v="2022"/>
    <x v="6"/>
    <n v="5"/>
    <d v="2022-05-01T00:00:00"/>
    <x v="6"/>
    <n v="2645.1499999999996"/>
    <n v="764.83615384615382"/>
    <n v="3.4584531428048435"/>
    <n v="2185.4700000000003"/>
    <n v="0.21033461909795118"/>
    <x v="0"/>
  </r>
  <r>
    <x v="120"/>
    <x v="5"/>
    <x v="5"/>
    <n v="19"/>
    <n v="202.9"/>
    <x v="4"/>
    <n v="2022"/>
    <x v="0"/>
    <n v="2"/>
    <d v="2022-02-01T00:00:00"/>
    <x v="0"/>
    <n v="1770.3600000000001"/>
    <n v="1052.2460454545458"/>
    <n v="1.6824582117913742"/>
    <n v="241.89999999999998"/>
    <n v="6.3185613890037216"/>
    <x v="0"/>
  </r>
  <r>
    <x v="119"/>
    <x v="0"/>
    <x v="0"/>
    <n v="3"/>
    <n v="56.22"/>
    <x v="3"/>
    <n v="2022"/>
    <x v="7"/>
    <n v="8"/>
    <d v="2022-08-01T00:00:00"/>
    <x v="7"/>
    <n v="1020.76"/>
    <n v="1206.8262499999996"/>
    <n v="0.8458218405507838"/>
    <n v="537.31000000000006"/>
    <n v="0.89975991513279086"/>
    <x v="0"/>
  </r>
  <r>
    <x v="64"/>
    <x v="3"/>
    <x v="6"/>
    <n v="10"/>
    <n v="246.29"/>
    <x v="0"/>
    <n v="2022"/>
    <x v="7"/>
    <n v="8"/>
    <d v="2022-08-01T00:00:00"/>
    <x v="7"/>
    <n v="896.81"/>
    <n v="1094.9664444444443"/>
    <n v="0.81902966483600015"/>
    <n v="874.87"/>
    <n v="2.5078011590293346E-2"/>
    <x v="0"/>
  </r>
  <r>
    <x v="47"/>
    <x v="2"/>
    <x v="2"/>
    <n v="18"/>
    <n v="329.35"/>
    <x v="4"/>
    <n v="2022"/>
    <x v="5"/>
    <n v="4"/>
    <d v="2022-04-01T00:00:00"/>
    <x v="5"/>
    <n v="972.89"/>
    <n v="1516.9579090909092"/>
    <n v="0.64134277831283981"/>
    <n v="522.87"/>
    <n v="0.86067282498517794"/>
    <x v="0"/>
  </r>
  <r>
    <x v="62"/>
    <x v="5"/>
    <x v="4"/>
    <n v="14"/>
    <n v="349.22"/>
    <x v="3"/>
    <n v="2022"/>
    <x v="5"/>
    <n v="4"/>
    <d v="2022-04-01T00:00:00"/>
    <x v="5"/>
    <n v="740.37"/>
    <n v="1556.7479999999998"/>
    <n v="0.47558757101342036"/>
    <n v="690.2"/>
    <n v="7.2689075630252037E-2"/>
    <x v="0"/>
  </r>
  <r>
    <x v="17"/>
    <x v="0"/>
    <x v="5"/>
    <n v="15"/>
    <n v="268.43"/>
    <x v="1"/>
    <n v="2022"/>
    <x v="0"/>
    <n v="2"/>
    <d v="2022-02-01T00:00:00"/>
    <x v="0"/>
    <n v="1770.3600000000001"/>
    <n v="1052.2460454545458"/>
    <n v="1.6824582117913742"/>
    <n v="241.89999999999998"/>
    <n v="6.3185613890037216"/>
    <x v="0"/>
  </r>
  <r>
    <x v="121"/>
    <x v="1"/>
    <x v="4"/>
    <n v="14"/>
    <n v="319.69"/>
    <x v="3"/>
    <n v="2022"/>
    <x v="0"/>
    <n v="2"/>
    <d v="2022-02-01T00:00:00"/>
    <x v="0"/>
    <n v="1484.3899999999999"/>
    <n v="1111.962857142857"/>
    <n v="1.3349276825793257"/>
    <n v="680.2299999999999"/>
    <n v="1.1821883774605648"/>
    <x v="0"/>
  </r>
  <r>
    <x v="111"/>
    <x v="5"/>
    <x v="6"/>
    <n v="11"/>
    <n v="166.88"/>
    <x v="0"/>
    <n v="2022"/>
    <x v="3"/>
    <n v="6"/>
    <d v="2022-06-01T00:00:00"/>
    <x v="3"/>
    <n v="704.09"/>
    <n v="1642.4496666666664"/>
    <n v="0.42868284751090302"/>
    <n v="791.69999999999993"/>
    <n v="-0.11066060376405193"/>
    <x v="1"/>
  </r>
  <r>
    <x v="107"/>
    <x v="0"/>
    <x v="3"/>
    <n v="2"/>
    <n v="29.69"/>
    <x v="4"/>
    <n v="2022"/>
    <x v="6"/>
    <n v="5"/>
    <d v="2022-05-01T00:00:00"/>
    <x v="6"/>
    <n v="1584.09"/>
    <n v="709.47177777777802"/>
    <n v="2.2327738038597094"/>
    <n v="377.24"/>
    <n v="3.1991570353090868"/>
    <x v="0"/>
  </r>
  <r>
    <x v="122"/>
    <x v="6"/>
    <x v="1"/>
    <n v="13"/>
    <n v="193.09"/>
    <x v="1"/>
    <n v="2022"/>
    <x v="5"/>
    <n v="4"/>
    <d v="2022-04-01T00:00:00"/>
    <x v="5"/>
    <n v="2185.4700000000003"/>
    <n v="841.31976923076911"/>
    <n v="2.5976686628892689"/>
    <n v="274.01"/>
    <n v="6.9758767928177816"/>
    <x v="0"/>
  </r>
  <r>
    <x v="12"/>
    <x v="6"/>
    <x v="1"/>
    <n v="16"/>
    <n v="276.52999999999997"/>
    <x v="4"/>
    <n v="2022"/>
    <x v="3"/>
    <n v="6"/>
    <d v="2022-06-01T00:00:00"/>
    <x v="3"/>
    <n v="761.09999999999991"/>
    <n v="1402.1996153846153"/>
    <n v="0.54279005046741124"/>
    <n v="2645.1499999999996"/>
    <n v="-0.71226584503714341"/>
    <x v="1"/>
  </r>
  <r>
    <x v="98"/>
    <x v="0"/>
    <x v="1"/>
    <n v="2"/>
    <n v="49.91"/>
    <x v="0"/>
    <n v="2022"/>
    <x v="7"/>
    <n v="8"/>
    <d v="2022-08-01T00:00:00"/>
    <x v="7"/>
    <n v="1721.52"/>
    <n v="841.31976923076911"/>
    <n v="2.046213654974506"/>
    <n v="1166.76"/>
    <n v="0.47547053378586857"/>
    <x v="0"/>
  </r>
  <r>
    <x v="29"/>
    <x v="3"/>
    <x v="6"/>
    <n v="16"/>
    <n v="131.88"/>
    <x v="0"/>
    <n v="2022"/>
    <x v="3"/>
    <n v="6"/>
    <d v="2022-06-01T00:00:00"/>
    <x v="3"/>
    <n v="704.09"/>
    <n v="1642.4496666666664"/>
    <n v="0.42868284751090302"/>
    <n v="791.69999999999993"/>
    <n v="-0.11066060376405193"/>
    <x v="1"/>
  </r>
  <r>
    <x v="96"/>
    <x v="4"/>
    <x v="5"/>
    <n v="16"/>
    <n v="306.63"/>
    <x v="1"/>
    <n v="2022"/>
    <x v="0"/>
    <n v="2"/>
    <d v="2022-02-01T00:00:00"/>
    <x v="0"/>
    <n v="1770.3600000000001"/>
    <n v="1052.2460454545458"/>
    <n v="1.6824582117913742"/>
    <n v="241.89999999999998"/>
    <n v="6.3185613890037216"/>
    <x v="0"/>
  </r>
  <r>
    <x v="46"/>
    <x v="6"/>
    <x v="2"/>
    <n v="8"/>
    <n v="162.66999999999999"/>
    <x v="1"/>
    <n v="2022"/>
    <x v="4"/>
    <n v="7"/>
    <d v="2022-07-01T00:00:00"/>
    <x v="4"/>
    <n v="1653.05"/>
    <n v="842.75439393939394"/>
    <n v="1.9614848784981569"/>
    <n v="585.20999999999992"/>
    <n v="1.8247124963688253"/>
    <x v="0"/>
  </r>
  <r>
    <x v="105"/>
    <x v="6"/>
    <x v="3"/>
    <n v="20"/>
    <n v="216.6"/>
    <x v="4"/>
    <n v="2022"/>
    <x v="4"/>
    <n v="7"/>
    <d v="2022-07-01T00:00:00"/>
    <x v="4"/>
    <n v="1767.0500000000002"/>
    <n v="709.47177777777802"/>
    <n v="2.4906558024545955"/>
    <n v="1655.98"/>
    <n v="6.7072066087754775E-2"/>
    <x v="0"/>
  </r>
  <r>
    <x v="81"/>
    <x v="1"/>
    <x v="1"/>
    <n v="20"/>
    <n v="427.81"/>
    <x v="3"/>
    <n v="2022"/>
    <x v="6"/>
    <n v="5"/>
    <d v="2022-05-01T00:00:00"/>
    <x v="6"/>
    <n v="2645.1499999999996"/>
    <n v="764.83615384615382"/>
    <n v="3.4584531428048435"/>
    <n v="2185.4700000000003"/>
    <n v="0.21033461909795118"/>
    <x v="0"/>
  </r>
  <r>
    <x v="22"/>
    <x v="5"/>
    <x v="3"/>
    <n v="5"/>
    <n v="79.489999999999995"/>
    <x v="0"/>
    <n v="2022"/>
    <x v="6"/>
    <n v="5"/>
    <d v="2022-05-01T00:00:00"/>
    <x v="6"/>
    <n v="1584.09"/>
    <n v="709.47177777777802"/>
    <n v="2.2327738038597094"/>
    <n v="377.24"/>
    <n v="3.1991570353090868"/>
    <x v="0"/>
  </r>
  <r>
    <x v="123"/>
    <x v="5"/>
    <x v="0"/>
    <n v="16"/>
    <n v="300.37"/>
    <x v="2"/>
    <n v="2022"/>
    <x v="3"/>
    <n v="6"/>
    <d v="2022-06-01T00:00:00"/>
    <x v="3"/>
    <n v="1013.7"/>
    <n v="862.01874999999984"/>
    <n v="1.1759604996991078"/>
    <n v="459.62"/>
    <n v="1.2055176014968889"/>
    <x v="0"/>
  </r>
  <r>
    <x v="11"/>
    <x v="4"/>
    <x v="0"/>
    <n v="3"/>
    <n v="73.09"/>
    <x v="1"/>
    <n v="2022"/>
    <x v="0"/>
    <n v="2"/>
    <d v="2022-02-01T00:00:00"/>
    <x v="0"/>
    <n v="837.85"/>
    <n v="862.01874999999984"/>
    <n v="0.97196261682243013"/>
    <n v="656.7700000000001"/>
    <n v="0.27571295887449165"/>
    <x v="0"/>
  </r>
  <r>
    <x v="122"/>
    <x v="0"/>
    <x v="3"/>
    <n v="11"/>
    <n v="125.38"/>
    <x v="3"/>
    <n v="2022"/>
    <x v="5"/>
    <n v="4"/>
    <d v="2022-04-01T00:00:00"/>
    <x v="5"/>
    <n v="377.24"/>
    <n v="2364.905925925927"/>
    <n v="0.15951585890347836"/>
    <n v="1095.8999999999999"/>
    <n v="-0.65577151199926997"/>
    <x v="1"/>
  </r>
  <r>
    <x v="94"/>
    <x v="1"/>
    <x v="1"/>
    <n v="15"/>
    <n v="155.47999999999999"/>
    <x v="3"/>
    <n v="2022"/>
    <x v="6"/>
    <n v="5"/>
    <d v="2022-05-01T00:00:00"/>
    <x v="6"/>
    <n v="2645.1499999999996"/>
    <n v="764.83615384615382"/>
    <n v="3.4584531428048435"/>
    <n v="2185.4700000000003"/>
    <n v="0.21033461909795118"/>
    <x v="0"/>
  </r>
  <r>
    <x v="124"/>
    <x v="2"/>
    <x v="2"/>
    <n v="16"/>
    <n v="340.68"/>
    <x v="2"/>
    <n v="2022"/>
    <x v="4"/>
    <n v="7"/>
    <d v="2022-07-01T00:00:00"/>
    <x v="4"/>
    <n v="1653.05"/>
    <n v="842.75439393939394"/>
    <n v="1.9614848784981569"/>
    <n v="585.20999999999992"/>
    <n v="1.8247124963688253"/>
    <x v="0"/>
  </r>
  <r>
    <x v="125"/>
    <x v="0"/>
    <x v="0"/>
    <n v="5"/>
    <n v="49.44"/>
    <x v="0"/>
    <n v="2022"/>
    <x v="4"/>
    <n v="7"/>
    <d v="2022-07-01T00:00:00"/>
    <x v="4"/>
    <n v="537.31000000000006"/>
    <n v="862.01874999999984"/>
    <n v="0.62331590815165006"/>
    <n v="1013.7"/>
    <n v="-0.46995166222748347"/>
    <x v="1"/>
  </r>
  <r>
    <x v="126"/>
    <x v="1"/>
    <x v="5"/>
    <n v="14"/>
    <n v="344.7"/>
    <x v="3"/>
    <n v="2022"/>
    <x v="4"/>
    <n v="7"/>
    <d v="2022-07-01T00:00:00"/>
    <x v="4"/>
    <n v="1698.9899999999998"/>
    <n v="1202.5669090909096"/>
    <n v="1.4128028861898132"/>
    <n v="2252.73"/>
    <n v="-0.24580841911813675"/>
    <x v="1"/>
  </r>
  <r>
    <x v="21"/>
    <x v="4"/>
    <x v="0"/>
    <n v="5"/>
    <n v="95.03"/>
    <x v="0"/>
    <n v="2022"/>
    <x v="4"/>
    <n v="7"/>
    <d v="2022-07-01T00:00:00"/>
    <x v="4"/>
    <n v="537.31000000000006"/>
    <n v="862.01874999999984"/>
    <n v="0.62331590815165006"/>
    <n v="1013.7"/>
    <n v="-0.46995166222748347"/>
    <x v="1"/>
  </r>
  <r>
    <x v="55"/>
    <x v="4"/>
    <x v="4"/>
    <n v="3"/>
    <n v="52.4"/>
    <x v="3"/>
    <n v="2022"/>
    <x v="5"/>
    <n v="4"/>
    <d v="2022-04-01T00:00:00"/>
    <x v="5"/>
    <n v="740.37"/>
    <n v="1556.7479999999998"/>
    <n v="0.47558757101342036"/>
    <n v="690.2"/>
    <n v="7.2689075630252037E-2"/>
    <x v="0"/>
  </r>
  <r>
    <x v="23"/>
    <x v="5"/>
    <x v="1"/>
    <n v="5"/>
    <n v="106.94"/>
    <x v="3"/>
    <n v="2022"/>
    <x v="5"/>
    <n v="4"/>
    <d v="2022-04-01T00:00:00"/>
    <x v="5"/>
    <n v="2185.4700000000003"/>
    <n v="841.31976923076911"/>
    <n v="2.5976686628892689"/>
    <n v="274.01"/>
    <n v="6.9758767928177816"/>
    <x v="0"/>
  </r>
  <r>
    <x v="127"/>
    <x v="1"/>
    <x v="3"/>
    <n v="5"/>
    <n v="94.04"/>
    <x v="3"/>
    <n v="2022"/>
    <x v="1"/>
    <n v="3"/>
    <d v="2022-03-01T00:00:00"/>
    <x v="1"/>
    <n v="1095.8999999999999"/>
    <n v="1418.943555555556"/>
    <n v="0.77233516140176861"/>
    <n v="519.11"/>
    <n v="1.1111132515266511"/>
    <x v="0"/>
  </r>
  <r>
    <x v="128"/>
    <x v="4"/>
    <x v="4"/>
    <n v="3"/>
    <n v="54.15"/>
    <x v="1"/>
    <n v="2022"/>
    <x v="2"/>
    <n v="1"/>
    <d v="2022-01-01T00:00:00"/>
    <x v="2"/>
    <n v="680.2299999999999"/>
    <n v="1556.7479999999998"/>
    <n v="0.43695575648724133"/>
    <n v="0"/>
    <n v="0"/>
    <x v="2"/>
  </r>
  <r>
    <x v="58"/>
    <x v="6"/>
    <x v="2"/>
    <n v="14"/>
    <n v="115.82"/>
    <x v="2"/>
    <n v="2022"/>
    <x v="5"/>
    <n v="4"/>
    <d v="2022-04-01T00:00:00"/>
    <x v="5"/>
    <n v="972.89"/>
    <n v="1516.9579090909092"/>
    <n v="0.64134277831283981"/>
    <n v="522.87"/>
    <n v="0.86067282498517794"/>
    <x v="0"/>
  </r>
  <r>
    <x v="13"/>
    <x v="6"/>
    <x v="5"/>
    <n v="9"/>
    <n v="204"/>
    <x v="2"/>
    <n v="2022"/>
    <x v="3"/>
    <n v="6"/>
    <d v="2022-06-01T00:00:00"/>
    <x v="3"/>
    <n v="2252.73"/>
    <n v="765.26985123966961"/>
    <n v="2.9437067151551526"/>
    <n v="185.17000000000002"/>
    <n v="11.165739590646432"/>
    <x v="0"/>
  </r>
  <r>
    <x v="129"/>
    <x v="6"/>
    <x v="5"/>
    <n v="1"/>
    <n v="19.920000000000002"/>
    <x v="2"/>
    <n v="2022"/>
    <x v="4"/>
    <n v="7"/>
    <d v="2022-07-01T00:00:00"/>
    <x v="4"/>
    <n v="1698.9899999999998"/>
    <n v="1202.5669090909096"/>
    <n v="1.4128028861898132"/>
    <n v="2252.73"/>
    <n v="-0.24580841911813675"/>
    <x v="1"/>
  </r>
  <r>
    <x v="130"/>
    <x v="3"/>
    <x v="2"/>
    <n v="12"/>
    <n v="151.09"/>
    <x v="1"/>
    <n v="2022"/>
    <x v="6"/>
    <n v="5"/>
    <d v="2022-05-01T00:00:00"/>
    <x v="6"/>
    <n v="1938.8200000000002"/>
    <n v="758.4789545454546"/>
    <n v="2.5561948533719128"/>
    <n v="972.89"/>
    <n v="0.99284605659427083"/>
    <x v="0"/>
  </r>
  <r>
    <x v="131"/>
    <x v="2"/>
    <x v="3"/>
    <n v="3"/>
    <n v="59.89"/>
    <x v="4"/>
    <n v="2022"/>
    <x v="4"/>
    <n v="7"/>
    <d v="2022-07-01T00:00:00"/>
    <x v="4"/>
    <n v="1767.0500000000002"/>
    <n v="709.47177777777802"/>
    <n v="2.4906558024545955"/>
    <n v="1655.98"/>
    <n v="6.7072066087754775E-2"/>
    <x v="0"/>
  </r>
  <r>
    <x v="86"/>
    <x v="4"/>
    <x v="2"/>
    <n v="15"/>
    <n v="363.94"/>
    <x v="1"/>
    <n v="2022"/>
    <x v="6"/>
    <n v="5"/>
    <d v="2022-05-01T00:00:00"/>
    <x v="6"/>
    <n v="1938.8200000000002"/>
    <n v="758.4789545454546"/>
    <n v="2.5561948533719128"/>
    <n v="972.89"/>
    <n v="0.99284605659427083"/>
    <x v="0"/>
  </r>
  <r>
    <x v="94"/>
    <x v="3"/>
    <x v="4"/>
    <n v="7"/>
    <n v="91.95"/>
    <x v="2"/>
    <n v="2022"/>
    <x v="6"/>
    <n v="5"/>
    <d v="2022-05-01T00:00:00"/>
    <x v="6"/>
    <n v="1280.45"/>
    <n v="1556.7479999999998"/>
    <n v="0.82251591137422386"/>
    <n v="740.37"/>
    <n v="0.72947310128719434"/>
    <x v="0"/>
  </r>
  <r>
    <x v="123"/>
    <x v="6"/>
    <x v="3"/>
    <n v="15"/>
    <n v="150.34"/>
    <x v="2"/>
    <n v="2022"/>
    <x v="3"/>
    <n v="6"/>
    <d v="2022-06-01T00:00:00"/>
    <x v="3"/>
    <n v="1655.98"/>
    <n v="591.22648148148176"/>
    <n v="2.8009232533875736"/>
    <n v="1584.09"/>
    <n v="4.5382522457688708E-2"/>
    <x v="0"/>
  </r>
  <r>
    <x v="132"/>
    <x v="6"/>
    <x v="2"/>
    <n v="17"/>
    <n v="180.65"/>
    <x v="0"/>
    <n v="2022"/>
    <x v="6"/>
    <n v="5"/>
    <d v="2022-05-01T00:00:00"/>
    <x v="6"/>
    <n v="1938.8200000000002"/>
    <n v="758.4789545454546"/>
    <n v="2.5561948533719128"/>
    <n v="972.89"/>
    <n v="0.99284605659427083"/>
    <x v="0"/>
  </r>
  <r>
    <x v="1"/>
    <x v="3"/>
    <x v="5"/>
    <n v="8"/>
    <n v="110.6"/>
    <x v="4"/>
    <n v="2022"/>
    <x v="0"/>
    <n v="2"/>
    <d v="2022-02-01T00:00:00"/>
    <x v="0"/>
    <n v="1770.3600000000001"/>
    <n v="1052.2460454545458"/>
    <n v="1.6824582117913742"/>
    <n v="241.89999999999998"/>
    <n v="6.3185613890037216"/>
    <x v="0"/>
  </r>
  <r>
    <x v="110"/>
    <x v="0"/>
    <x v="1"/>
    <n v="20"/>
    <n v="330.3"/>
    <x v="0"/>
    <n v="2022"/>
    <x v="5"/>
    <n v="4"/>
    <d v="2022-04-01T00:00:00"/>
    <x v="5"/>
    <n v="2185.4700000000003"/>
    <n v="841.31976923076911"/>
    <n v="2.5976686628892689"/>
    <n v="274.01"/>
    <n v="6.9758767928177816"/>
    <x v="0"/>
  </r>
  <r>
    <x v="24"/>
    <x v="2"/>
    <x v="6"/>
    <n v="8"/>
    <n v="93.83"/>
    <x v="3"/>
    <n v="2022"/>
    <x v="4"/>
    <n v="7"/>
    <d v="2022-07-01T00:00:00"/>
    <x v="4"/>
    <n v="874.87"/>
    <n v="938.54266666666649"/>
    <n v="0.9321579413189528"/>
    <n v="704.09"/>
    <n v="0.24255421892087653"/>
    <x v="0"/>
  </r>
  <r>
    <x v="133"/>
    <x v="1"/>
    <x v="0"/>
    <n v="19"/>
    <n v="210.77"/>
    <x v="2"/>
    <n v="2022"/>
    <x v="2"/>
    <n v="1"/>
    <d v="2022-01-01T00:00:00"/>
    <x v="2"/>
    <n v="656.7700000000001"/>
    <n v="1005.6885416666664"/>
    <n v="0.65305506902919974"/>
    <n v="0"/>
    <n v="0"/>
    <x v="2"/>
  </r>
  <r>
    <x v="134"/>
    <x v="0"/>
    <x v="2"/>
    <n v="14"/>
    <n v="307.75"/>
    <x v="3"/>
    <n v="2022"/>
    <x v="3"/>
    <n v="6"/>
    <d v="2022-06-01T00:00:00"/>
    <x v="3"/>
    <n v="585.20999999999992"/>
    <n v="1896.1973863636363"/>
    <n v="0.30862293356614373"/>
    <n v="1938.8200000000002"/>
    <n v="-0.69816176849836498"/>
    <x v="1"/>
  </r>
  <r>
    <x v="135"/>
    <x v="3"/>
    <x v="5"/>
    <n v="18"/>
    <n v="149.85"/>
    <x v="0"/>
    <n v="2022"/>
    <x v="3"/>
    <n v="6"/>
    <d v="2022-06-01T00:00:00"/>
    <x v="3"/>
    <n v="2252.73"/>
    <n v="765.26985123966961"/>
    <n v="2.9437067151551526"/>
    <n v="185.17000000000002"/>
    <n v="11.165739590646432"/>
    <x v="0"/>
  </r>
  <r>
    <x v="85"/>
    <x v="6"/>
    <x v="6"/>
    <n v="20"/>
    <n v="176.04"/>
    <x v="2"/>
    <n v="2022"/>
    <x v="4"/>
    <n v="7"/>
    <d v="2022-07-01T00:00:00"/>
    <x v="4"/>
    <n v="874.87"/>
    <n v="938.54266666666649"/>
    <n v="0.9321579413189528"/>
    <n v="704.09"/>
    <n v="0.24255421892087653"/>
    <x v="0"/>
  </r>
  <r>
    <x v="136"/>
    <x v="4"/>
    <x v="0"/>
    <n v="8"/>
    <n v="102.72"/>
    <x v="3"/>
    <n v="2022"/>
    <x v="4"/>
    <n v="7"/>
    <d v="2022-07-01T00:00:00"/>
    <x v="4"/>
    <n v="537.31000000000006"/>
    <n v="862.01874999999984"/>
    <n v="0.62331590815165006"/>
    <n v="1013.7"/>
    <n v="-0.46995166222748347"/>
    <x v="1"/>
  </r>
  <r>
    <x v="39"/>
    <x v="2"/>
    <x v="3"/>
    <n v="18"/>
    <n v="224.44"/>
    <x v="0"/>
    <n v="2022"/>
    <x v="7"/>
    <n v="8"/>
    <d v="2022-08-01T00:00:00"/>
    <x v="7"/>
    <n v="753.67000000000007"/>
    <n v="1418.943555555556"/>
    <n v="0.53114868244700353"/>
    <n v="1767.0500000000002"/>
    <n v="-0.57348688492119637"/>
    <x v="1"/>
  </r>
  <r>
    <x v="137"/>
    <x v="5"/>
    <x v="4"/>
    <n v="1"/>
    <n v="23.68"/>
    <x v="0"/>
    <n v="2022"/>
    <x v="0"/>
    <n v="2"/>
    <d v="2022-02-01T00:00:00"/>
    <x v="0"/>
    <n v="1484.3899999999999"/>
    <n v="1111.962857142857"/>
    <n v="1.3349276825793257"/>
    <n v="680.2299999999999"/>
    <n v="1.1821883774605648"/>
    <x v="0"/>
  </r>
  <r>
    <x v="138"/>
    <x v="6"/>
    <x v="0"/>
    <n v="2"/>
    <n v="47.79"/>
    <x v="0"/>
    <n v="2022"/>
    <x v="6"/>
    <n v="5"/>
    <d v="2022-05-01T00:00:00"/>
    <x v="6"/>
    <n v="459.62"/>
    <n v="1508.5328124999996"/>
    <n v="0.30468014761859885"/>
    <n v="574.2399999999999"/>
    <n v="-0.1996029534689327"/>
    <x v="1"/>
  </r>
  <r>
    <x v="139"/>
    <x v="1"/>
    <x v="3"/>
    <n v="10"/>
    <n v="154.6"/>
    <x v="4"/>
    <n v="2022"/>
    <x v="7"/>
    <n v="8"/>
    <d v="2022-08-01T00:00:00"/>
    <x v="7"/>
    <n v="753.67000000000007"/>
    <n v="1418.943555555556"/>
    <n v="0.53114868244700353"/>
    <n v="1767.0500000000002"/>
    <n v="-0.57348688492119637"/>
    <x v="1"/>
  </r>
  <r>
    <x v="132"/>
    <x v="6"/>
    <x v="1"/>
    <n v="8"/>
    <n v="158.49"/>
    <x v="4"/>
    <n v="2022"/>
    <x v="6"/>
    <n v="5"/>
    <d v="2022-05-01T00:00:00"/>
    <x v="6"/>
    <n v="2645.1499999999996"/>
    <n v="764.83615384615382"/>
    <n v="3.4584531428048435"/>
    <n v="2185.4700000000003"/>
    <n v="0.21033461909795118"/>
    <x v="0"/>
  </r>
  <r>
    <x v="71"/>
    <x v="5"/>
    <x v="4"/>
    <n v="7"/>
    <n v="68.989999999999995"/>
    <x v="4"/>
    <n v="2022"/>
    <x v="7"/>
    <n v="8"/>
    <d v="2022-08-01T00:00:00"/>
    <x v="7"/>
    <n v="507.65"/>
    <n v="1945.9349999999999"/>
    <n v="0.26087716187847998"/>
    <n v="1056.4100000000001"/>
    <n v="-0.51945740763529313"/>
    <x v="1"/>
  </r>
  <r>
    <x v="72"/>
    <x v="5"/>
    <x v="1"/>
    <n v="9"/>
    <n v="186.56"/>
    <x v="4"/>
    <n v="2022"/>
    <x v="6"/>
    <n v="5"/>
    <d v="2022-05-01T00:00:00"/>
    <x v="6"/>
    <n v="2645.1499999999996"/>
    <n v="764.83615384615382"/>
    <n v="3.4584531428048435"/>
    <n v="2185.4700000000003"/>
    <n v="0.21033461909795118"/>
    <x v="0"/>
  </r>
  <r>
    <x v="70"/>
    <x v="2"/>
    <x v="6"/>
    <n v="2"/>
    <n v="36.61"/>
    <x v="1"/>
    <n v="2022"/>
    <x v="3"/>
    <n v="6"/>
    <d v="2022-06-01T00:00:00"/>
    <x v="3"/>
    <n v="704.09"/>
    <n v="1642.4496666666664"/>
    <n v="0.42868284751090302"/>
    <n v="791.69999999999993"/>
    <n v="-0.11066060376405193"/>
    <x v="1"/>
  </r>
  <r>
    <x v="140"/>
    <x v="2"/>
    <x v="3"/>
    <n v="16"/>
    <n v="392.8"/>
    <x v="0"/>
    <n v="2022"/>
    <x v="2"/>
    <n v="1"/>
    <d v="2022-01-01T00:00:00"/>
    <x v="2"/>
    <n v="1368.74"/>
    <n v="1418.943555555556"/>
    <n v="0.9646190608787818"/>
    <n v="0"/>
    <n v="0"/>
    <x v="2"/>
  </r>
  <r>
    <x v="30"/>
    <x v="6"/>
    <x v="2"/>
    <n v="5"/>
    <n v="82.32"/>
    <x v="4"/>
    <n v="2022"/>
    <x v="3"/>
    <n v="6"/>
    <d v="2022-06-01T00:00:00"/>
    <x v="3"/>
    <n v="585.20999999999992"/>
    <n v="1896.1973863636363"/>
    <n v="0.30862293356614373"/>
    <n v="1938.8200000000002"/>
    <n v="-0.69816176849836498"/>
    <x v="1"/>
  </r>
  <r>
    <x v="141"/>
    <x v="5"/>
    <x v="1"/>
    <n v="6"/>
    <n v="128.69"/>
    <x v="2"/>
    <n v="2022"/>
    <x v="5"/>
    <n v="4"/>
    <d v="2022-04-01T00:00:00"/>
    <x v="5"/>
    <n v="2185.4700000000003"/>
    <n v="841.31976923076911"/>
    <n v="2.5976686628892689"/>
    <n v="274.01"/>
    <n v="6.9758767928177816"/>
    <x v="0"/>
  </r>
  <r>
    <x v="142"/>
    <x v="0"/>
    <x v="1"/>
    <n v="13"/>
    <n v="323.95999999999998"/>
    <x v="3"/>
    <n v="2022"/>
    <x v="7"/>
    <n v="8"/>
    <d v="2022-08-01T00:00:00"/>
    <x v="7"/>
    <n v="1721.52"/>
    <n v="841.31976923076911"/>
    <n v="2.046213654974506"/>
    <n v="1166.76"/>
    <n v="0.47547053378586857"/>
    <x v="0"/>
  </r>
  <r>
    <x v="73"/>
    <x v="6"/>
    <x v="5"/>
    <n v="9"/>
    <n v="180.57"/>
    <x v="0"/>
    <n v="2022"/>
    <x v="1"/>
    <n v="3"/>
    <d v="2022-03-01T00:00:00"/>
    <x v="1"/>
    <n v="1922.5800000000002"/>
    <n v="841.79683636363654"/>
    <n v="2.2839002440364253"/>
    <n v="1770.3600000000001"/>
    <n v="8.5982512031451241E-2"/>
    <x v="0"/>
  </r>
  <r>
    <x v="90"/>
    <x v="1"/>
    <x v="5"/>
    <n v="18"/>
    <n v="229.15"/>
    <x v="2"/>
    <n v="2022"/>
    <x v="7"/>
    <n v="8"/>
    <d v="2022-08-01T00:00:00"/>
    <x v="7"/>
    <n v="1328.57"/>
    <n v="1052.2460454545458"/>
    <n v="1.2626039373006992"/>
    <n v="1698.9899999999998"/>
    <n v="-0.21802364934461055"/>
    <x v="1"/>
  </r>
  <r>
    <x v="143"/>
    <x v="0"/>
    <x v="5"/>
    <n v="7"/>
    <n v="163.5"/>
    <x v="3"/>
    <n v="2022"/>
    <x v="7"/>
    <n v="8"/>
    <d v="2022-08-01T00:00:00"/>
    <x v="7"/>
    <n v="1328.57"/>
    <n v="1052.2460454545458"/>
    <n v="1.2626039373006992"/>
    <n v="1698.9899999999998"/>
    <n v="-0.21802364934461055"/>
    <x v="1"/>
  </r>
  <r>
    <x v="44"/>
    <x v="1"/>
    <x v="4"/>
    <n v="6"/>
    <n v="124.34"/>
    <x v="4"/>
    <n v="2022"/>
    <x v="1"/>
    <n v="3"/>
    <d v="2022-03-01T00:00:00"/>
    <x v="1"/>
    <n v="690.2"/>
    <n v="1945.9349999999999"/>
    <n v="0.35468810623170871"/>
    <n v="1484.3899999999999"/>
    <n v="-0.53502785656060736"/>
    <x v="1"/>
  </r>
  <r>
    <x v="121"/>
    <x v="6"/>
    <x v="5"/>
    <n v="5"/>
    <n v="64.33"/>
    <x v="2"/>
    <n v="2022"/>
    <x v="0"/>
    <n v="2"/>
    <d v="2022-02-01T00:00:00"/>
    <x v="0"/>
    <n v="1770.3600000000001"/>
    <n v="1052.2460454545458"/>
    <n v="1.6824582117913742"/>
    <n v="241.89999999999998"/>
    <n v="6.3185613890037216"/>
    <x v="0"/>
  </r>
  <r>
    <x v="138"/>
    <x v="1"/>
    <x v="0"/>
    <n v="8"/>
    <n v="94.84"/>
    <x v="4"/>
    <n v="2022"/>
    <x v="6"/>
    <n v="5"/>
    <d v="2022-05-01T00:00:00"/>
    <x v="6"/>
    <n v="459.62"/>
    <n v="1508.5328124999996"/>
    <n v="0.30468014761859885"/>
    <n v="574.2399999999999"/>
    <n v="-0.1996029534689327"/>
    <x v="1"/>
  </r>
  <r>
    <x v="113"/>
    <x v="3"/>
    <x v="3"/>
    <n v="18"/>
    <n v="432"/>
    <x v="1"/>
    <n v="2022"/>
    <x v="2"/>
    <n v="1"/>
    <d v="2022-01-01T00:00:00"/>
    <x v="2"/>
    <n v="1368.74"/>
    <n v="1418.943555555556"/>
    <n v="0.9646190608787818"/>
    <n v="0"/>
    <n v="0"/>
    <x v="2"/>
  </r>
  <r>
    <x v="14"/>
    <x v="4"/>
    <x v="6"/>
    <n v="19"/>
    <n v="368.72"/>
    <x v="3"/>
    <n v="2022"/>
    <x v="3"/>
    <n v="6"/>
    <d v="2022-06-01T00:00:00"/>
    <x v="3"/>
    <n v="704.09"/>
    <n v="1642.4496666666664"/>
    <n v="0.42868284751090302"/>
    <n v="791.69999999999993"/>
    <n v="-0.11066060376405193"/>
    <x v="1"/>
  </r>
  <r>
    <x v="85"/>
    <x v="6"/>
    <x v="1"/>
    <n v="20"/>
    <n v="486.94"/>
    <x v="4"/>
    <n v="2022"/>
    <x v="4"/>
    <n v="7"/>
    <d v="2022-07-01T00:00:00"/>
    <x v="4"/>
    <n v="1166.76"/>
    <n v="1682.6395384615382"/>
    <n v="0.69341054535470237"/>
    <n v="761.09999999999991"/>
    <n v="0.53299172250689808"/>
    <x v="0"/>
  </r>
  <r>
    <x v="50"/>
    <x v="1"/>
    <x v="0"/>
    <n v="13"/>
    <n v="320.79000000000002"/>
    <x v="4"/>
    <n v="2022"/>
    <x v="7"/>
    <n v="8"/>
    <d v="2022-08-01T00:00:00"/>
    <x v="7"/>
    <n v="1020.76"/>
    <n v="1206.8262499999996"/>
    <n v="0.8458218405507838"/>
    <n v="537.31000000000006"/>
    <n v="0.89975991513279086"/>
    <x v="0"/>
  </r>
  <r>
    <x v="144"/>
    <x v="3"/>
    <x v="5"/>
    <n v="18"/>
    <n v="431.39"/>
    <x v="4"/>
    <n v="2022"/>
    <x v="4"/>
    <n v="7"/>
    <d v="2022-07-01T00:00:00"/>
    <x v="4"/>
    <n v="1698.9899999999998"/>
    <n v="1202.5669090909096"/>
    <n v="1.4128028861898132"/>
    <n v="2252.73"/>
    <n v="-0.24580841911813675"/>
    <x v="1"/>
  </r>
  <r>
    <x v="69"/>
    <x v="5"/>
    <x v="4"/>
    <n v="4"/>
    <n v="67.5"/>
    <x v="2"/>
    <n v="2022"/>
    <x v="0"/>
    <n v="2"/>
    <d v="2022-02-01T00:00:00"/>
    <x v="0"/>
    <n v="1484.3899999999999"/>
    <n v="1111.962857142857"/>
    <n v="1.3349276825793257"/>
    <n v="680.2299999999999"/>
    <n v="1.1821883774605648"/>
    <x v="0"/>
  </r>
  <r>
    <x v="131"/>
    <x v="4"/>
    <x v="3"/>
    <n v="15"/>
    <n v="220.62"/>
    <x v="4"/>
    <n v="2022"/>
    <x v="4"/>
    <n v="7"/>
    <d v="2022-07-01T00:00:00"/>
    <x v="4"/>
    <n v="1767.0500000000002"/>
    <n v="709.47177777777802"/>
    <n v="2.4906558024545955"/>
    <n v="1655.98"/>
    <n v="6.7072066087754775E-2"/>
    <x v="0"/>
  </r>
  <r>
    <x v="145"/>
    <x v="4"/>
    <x v="5"/>
    <n v="5"/>
    <n v="97.52"/>
    <x v="4"/>
    <n v="2022"/>
    <x v="7"/>
    <n v="8"/>
    <d v="2022-08-01T00:00:00"/>
    <x v="7"/>
    <n v="1328.57"/>
    <n v="1052.2460454545458"/>
    <n v="1.2626039373006992"/>
    <n v="1698.9899999999998"/>
    <n v="-0.21802364934461055"/>
    <x v="1"/>
  </r>
  <r>
    <x v="146"/>
    <x v="1"/>
    <x v="1"/>
    <n v="6"/>
    <n v="112.49"/>
    <x v="3"/>
    <n v="2022"/>
    <x v="7"/>
    <n v="8"/>
    <d v="2022-08-01T00:00:00"/>
    <x v="7"/>
    <n v="1721.52"/>
    <n v="841.31976923076911"/>
    <n v="2.046213654974506"/>
    <n v="1166.76"/>
    <n v="0.47547053378586857"/>
    <x v="0"/>
  </r>
  <r>
    <x v="89"/>
    <x v="1"/>
    <x v="6"/>
    <n v="2"/>
    <n v="45.57"/>
    <x v="1"/>
    <n v="2022"/>
    <x v="1"/>
    <n v="3"/>
    <d v="2022-03-01T00:00:00"/>
    <x v="1"/>
    <n v="760.68999999999994"/>
    <n v="1313.9597333333331"/>
    <n v="0.57892946085207286"/>
    <n v="930.81000000000006"/>
    <n v="-0.18276554828590164"/>
    <x v="1"/>
  </r>
  <r>
    <x v="117"/>
    <x v="5"/>
    <x v="1"/>
    <n v="9"/>
    <n v="100.77"/>
    <x v="2"/>
    <n v="2022"/>
    <x v="4"/>
    <n v="7"/>
    <d v="2022-07-01T00:00:00"/>
    <x v="4"/>
    <n v="1166.76"/>
    <n v="1682.6395384615382"/>
    <n v="0.69341054535470237"/>
    <n v="761.09999999999991"/>
    <n v="0.53299172250689808"/>
    <x v="0"/>
  </r>
  <r>
    <x v="147"/>
    <x v="3"/>
    <x v="1"/>
    <n v="12"/>
    <n v="295.77999999999997"/>
    <x v="0"/>
    <n v="2022"/>
    <x v="5"/>
    <n v="4"/>
    <d v="2022-04-01T00:00:00"/>
    <x v="5"/>
    <n v="2185.4700000000003"/>
    <n v="841.31976923076911"/>
    <n v="2.5976686628892689"/>
    <n v="274.01"/>
    <n v="6.9758767928177816"/>
    <x v="0"/>
  </r>
  <r>
    <x v="148"/>
    <x v="3"/>
    <x v="5"/>
    <n v="17"/>
    <n v="381.45"/>
    <x v="2"/>
    <n v="2022"/>
    <x v="3"/>
    <n v="6"/>
    <d v="2022-06-01T00:00:00"/>
    <x v="3"/>
    <n v="2252.73"/>
    <n v="765.26985123966961"/>
    <n v="2.9437067151551526"/>
    <n v="185.17000000000002"/>
    <n v="11.165739590646432"/>
    <x v="0"/>
  </r>
  <r>
    <x v="149"/>
    <x v="6"/>
    <x v="0"/>
    <n v="11"/>
    <n v="155.16"/>
    <x v="1"/>
    <n v="2022"/>
    <x v="2"/>
    <n v="1"/>
    <d v="2022-01-01T00:00:00"/>
    <x v="2"/>
    <n v="656.7700000000001"/>
    <n v="1005.6885416666664"/>
    <n v="0.65305506902919974"/>
    <n v="0"/>
    <n v="0"/>
    <x v="2"/>
  </r>
  <r>
    <x v="86"/>
    <x v="3"/>
    <x v="2"/>
    <n v="18"/>
    <n v="309.25"/>
    <x v="0"/>
    <n v="2022"/>
    <x v="6"/>
    <n v="5"/>
    <d v="2022-05-01T00:00:00"/>
    <x v="6"/>
    <n v="1938.8200000000002"/>
    <n v="758.4789545454546"/>
    <n v="2.5561948533719128"/>
    <n v="972.89"/>
    <n v="0.99284605659427083"/>
    <x v="0"/>
  </r>
  <r>
    <x v="112"/>
    <x v="0"/>
    <x v="5"/>
    <n v="3"/>
    <n v="48.59"/>
    <x v="2"/>
    <n v="2022"/>
    <x v="3"/>
    <n v="6"/>
    <d v="2022-06-01T00:00:00"/>
    <x v="3"/>
    <n v="2252.73"/>
    <n v="765.26985123966961"/>
    <n v="2.9437067151551526"/>
    <n v="185.17000000000002"/>
    <n v="11.165739590646432"/>
    <x v="0"/>
  </r>
  <r>
    <x v="150"/>
    <x v="5"/>
    <x v="3"/>
    <n v="14"/>
    <n v="141.91999999999999"/>
    <x v="1"/>
    <n v="2022"/>
    <x v="2"/>
    <n v="1"/>
    <d v="2022-01-01T00:00:00"/>
    <x v="2"/>
    <n v="1368.74"/>
    <n v="1418.943555555556"/>
    <n v="0.9646190608787818"/>
    <n v="0"/>
    <n v="0"/>
    <x v="2"/>
  </r>
  <r>
    <x v="90"/>
    <x v="2"/>
    <x v="6"/>
    <n v="4"/>
    <n v="67.94"/>
    <x v="3"/>
    <n v="2022"/>
    <x v="7"/>
    <n v="8"/>
    <d v="2022-08-01T00:00:00"/>
    <x v="7"/>
    <n v="896.81"/>
    <n v="1094.9664444444443"/>
    <n v="0.81902966483600015"/>
    <n v="874.87"/>
    <n v="2.5078011590293346E-2"/>
    <x v="0"/>
  </r>
  <r>
    <x v="151"/>
    <x v="5"/>
    <x v="1"/>
    <n v="13"/>
    <n v="289.57"/>
    <x v="3"/>
    <n v="2022"/>
    <x v="2"/>
    <n v="1"/>
    <d v="2022-01-01T00:00:00"/>
    <x v="2"/>
    <n v="491.53"/>
    <n v="4206.5988461538454"/>
    <n v="0.11684736719057796"/>
    <n v="0"/>
    <n v="0"/>
    <x v="2"/>
  </r>
  <r>
    <x v="152"/>
    <x v="6"/>
    <x v="4"/>
    <n v="19"/>
    <n v="335.15"/>
    <x v="0"/>
    <n v="2022"/>
    <x v="1"/>
    <n v="3"/>
    <d v="2022-03-01T00:00:00"/>
    <x v="1"/>
    <n v="690.2"/>
    <n v="1945.9349999999999"/>
    <n v="0.35468810623170871"/>
    <n v="1484.3899999999999"/>
    <n v="-0.53502785656060736"/>
    <x v="1"/>
  </r>
  <r>
    <x v="153"/>
    <x v="4"/>
    <x v="6"/>
    <n v="6"/>
    <n v="88.2"/>
    <x v="4"/>
    <n v="2022"/>
    <x v="7"/>
    <n v="8"/>
    <d v="2022-08-01T00:00:00"/>
    <x v="7"/>
    <n v="896.81"/>
    <n v="1094.9664444444443"/>
    <n v="0.81902966483600015"/>
    <n v="874.87"/>
    <n v="2.5078011590293346E-2"/>
    <x v="0"/>
  </r>
  <r>
    <x v="15"/>
    <x v="6"/>
    <x v="2"/>
    <n v="2"/>
    <n v="47.92"/>
    <x v="1"/>
    <n v="2022"/>
    <x v="5"/>
    <n v="4"/>
    <d v="2022-04-01T00:00:00"/>
    <x v="5"/>
    <n v="972.89"/>
    <n v="1516.9579090909092"/>
    <n v="0.64134277831283981"/>
    <n v="522.87"/>
    <n v="0.86067282498517794"/>
    <x v="0"/>
  </r>
  <r>
    <x v="154"/>
    <x v="1"/>
    <x v="5"/>
    <n v="7"/>
    <n v="65.17"/>
    <x v="0"/>
    <n v="2022"/>
    <x v="2"/>
    <n v="1"/>
    <d v="2022-01-01T00:00:00"/>
    <x v="2"/>
    <n v="241.89999999999998"/>
    <n v="4208.9841818181831"/>
    <n v="5.7472299621592976E-2"/>
    <n v="0"/>
    <n v="0"/>
    <x v="2"/>
  </r>
  <r>
    <x v="155"/>
    <x v="4"/>
    <x v="0"/>
    <n v="3"/>
    <n v="27.98"/>
    <x v="3"/>
    <n v="2022"/>
    <x v="2"/>
    <n v="1"/>
    <d v="2022-01-01T00:00:00"/>
    <x v="2"/>
    <n v="656.7700000000001"/>
    <n v="1005.6885416666664"/>
    <n v="0.65305506902919974"/>
    <n v="0"/>
    <n v="0"/>
    <x v="2"/>
  </r>
  <r>
    <x v="121"/>
    <x v="6"/>
    <x v="6"/>
    <n v="8"/>
    <n v="197.83"/>
    <x v="3"/>
    <n v="2022"/>
    <x v="0"/>
    <n v="2"/>
    <d v="2022-02-01T00:00:00"/>
    <x v="0"/>
    <n v="930.81000000000006"/>
    <n v="1094.9664444444443"/>
    <n v="0.85008084468950762"/>
    <n v="1214.3899999999999"/>
    <n v="-0.23351641564900885"/>
    <x v="1"/>
  </r>
  <r>
    <x v="115"/>
    <x v="5"/>
    <x v="1"/>
    <n v="11"/>
    <n v="204.72"/>
    <x v="1"/>
    <n v="2022"/>
    <x v="1"/>
    <n v="3"/>
    <d v="2022-03-01T00:00:00"/>
    <x v="1"/>
    <n v="274.01"/>
    <n v="2804.3992307692306"/>
    <n v="9.770720124068806E-2"/>
    <n v="1170.8000000000002"/>
    <n v="-0.76596344379911174"/>
    <x v="1"/>
  </r>
  <r>
    <x v="115"/>
    <x v="0"/>
    <x v="0"/>
    <n v="17"/>
    <n v="316.18"/>
    <x v="2"/>
    <n v="2022"/>
    <x v="1"/>
    <n v="3"/>
    <d v="2022-03-01T00:00:00"/>
    <x v="1"/>
    <n v="1795.9"/>
    <n v="862.01874999999984"/>
    <n v="2.0833653560319894"/>
    <n v="837.85"/>
    <n v="1.1434624336098347"/>
    <x v="0"/>
  </r>
  <r>
    <x v="97"/>
    <x v="1"/>
    <x v="6"/>
    <n v="8"/>
    <n v="81.36"/>
    <x v="0"/>
    <n v="2022"/>
    <x v="0"/>
    <n v="2"/>
    <d v="2022-02-01T00:00:00"/>
    <x v="0"/>
    <n v="930.81000000000006"/>
    <n v="1094.9664444444443"/>
    <n v="0.85008084468950762"/>
    <n v="1214.3899999999999"/>
    <n v="-0.23351641564900885"/>
    <x v="1"/>
  </r>
  <r>
    <x v="73"/>
    <x v="0"/>
    <x v="0"/>
    <n v="18"/>
    <n v="315.74"/>
    <x v="4"/>
    <n v="2022"/>
    <x v="1"/>
    <n v="3"/>
    <d v="2022-03-01T00:00:00"/>
    <x v="1"/>
    <n v="1795.9"/>
    <n v="862.01874999999984"/>
    <n v="2.0833653560319894"/>
    <n v="837.85"/>
    <n v="1.1434624336098347"/>
    <x v="0"/>
  </r>
  <r>
    <x v="156"/>
    <x v="3"/>
    <x v="6"/>
    <n v="4"/>
    <n v="88.26"/>
    <x v="4"/>
    <n v="2022"/>
    <x v="0"/>
    <n v="2"/>
    <d v="2022-02-01T00:00:00"/>
    <x v="0"/>
    <n v="930.81000000000006"/>
    <n v="1094.9664444444443"/>
    <n v="0.85008084468950762"/>
    <n v="1214.3899999999999"/>
    <n v="-0.23351641564900885"/>
    <x v="1"/>
  </r>
  <r>
    <x v="77"/>
    <x v="0"/>
    <x v="3"/>
    <n v="2"/>
    <n v="28.36"/>
    <x v="1"/>
    <n v="2022"/>
    <x v="4"/>
    <n v="7"/>
    <d v="2022-07-01T00:00:00"/>
    <x v="4"/>
    <n v="1767.0500000000002"/>
    <n v="709.47177777777802"/>
    <n v="2.4906558024545955"/>
    <n v="1655.98"/>
    <n v="6.7072066087754775E-2"/>
    <x v="0"/>
  </r>
  <r>
    <x v="35"/>
    <x v="2"/>
    <x v="1"/>
    <n v="9"/>
    <n v="138.31"/>
    <x v="1"/>
    <n v="2022"/>
    <x v="6"/>
    <n v="5"/>
    <d v="2022-05-01T00:00:00"/>
    <x v="6"/>
    <n v="2645.1499999999996"/>
    <n v="764.83615384615382"/>
    <n v="3.4584531428048435"/>
    <n v="2185.4700000000003"/>
    <n v="0.21033461909795118"/>
    <x v="0"/>
  </r>
  <r>
    <x v="157"/>
    <x v="0"/>
    <x v="6"/>
    <n v="18"/>
    <n v="260.35000000000002"/>
    <x v="3"/>
    <n v="2022"/>
    <x v="6"/>
    <n v="5"/>
    <d v="2022-05-01T00:00:00"/>
    <x v="6"/>
    <n v="791.69999999999993"/>
    <n v="1094.9664444444443"/>
    <n v="0.72303585558887751"/>
    <n v="865.70999999999992"/>
    <n v="-8.5490522230308064E-2"/>
    <x v="1"/>
  </r>
  <r>
    <x v="29"/>
    <x v="2"/>
    <x v="3"/>
    <n v="13"/>
    <n v="227.31"/>
    <x v="2"/>
    <n v="2022"/>
    <x v="3"/>
    <n v="6"/>
    <d v="2022-06-01T00:00:00"/>
    <x v="3"/>
    <n v="1655.98"/>
    <n v="591.22648148148176"/>
    <n v="2.8009232533875736"/>
    <n v="1584.09"/>
    <n v="4.5382522457688708E-2"/>
    <x v="0"/>
  </r>
  <r>
    <x v="90"/>
    <x v="6"/>
    <x v="5"/>
    <n v="16"/>
    <n v="130.5"/>
    <x v="0"/>
    <n v="2022"/>
    <x v="7"/>
    <n v="8"/>
    <d v="2022-08-01T00:00:00"/>
    <x v="7"/>
    <n v="1328.57"/>
    <n v="1052.2460454545458"/>
    <n v="1.2626039373006992"/>
    <n v="1698.9899999999998"/>
    <n v="-0.21802364934461055"/>
    <x v="1"/>
  </r>
  <r>
    <x v="131"/>
    <x v="5"/>
    <x v="0"/>
    <n v="4"/>
    <n v="86.5"/>
    <x v="3"/>
    <n v="2022"/>
    <x v="4"/>
    <n v="7"/>
    <d v="2022-07-01T00:00:00"/>
    <x v="4"/>
    <n v="537.31000000000006"/>
    <n v="862.01874999999984"/>
    <n v="0.62331590815165006"/>
    <n v="1013.7"/>
    <n v="-0.46995166222748347"/>
    <x v="1"/>
  </r>
  <r>
    <x v="54"/>
    <x v="4"/>
    <x v="1"/>
    <n v="19"/>
    <n v="364.12"/>
    <x v="0"/>
    <n v="2022"/>
    <x v="7"/>
    <n v="8"/>
    <d v="2022-08-01T00:00:00"/>
    <x v="7"/>
    <n v="1721.52"/>
    <n v="841.31976923076911"/>
    <n v="2.046213654974506"/>
    <n v="1166.76"/>
    <n v="0.47547053378586857"/>
    <x v="0"/>
  </r>
  <r>
    <x v="158"/>
    <x v="4"/>
    <x v="1"/>
    <n v="7"/>
    <n v="134.85"/>
    <x v="2"/>
    <n v="2022"/>
    <x v="6"/>
    <n v="5"/>
    <d v="2022-05-01T00:00:00"/>
    <x v="6"/>
    <n v="2645.1499999999996"/>
    <n v="764.83615384615382"/>
    <n v="3.4584531428048435"/>
    <n v="2185.4700000000003"/>
    <n v="0.21033461909795118"/>
    <x v="0"/>
  </r>
  <r>
    <x v="159"/>
    <x v="3"/>
    <x v="4"/>
    <n v="14"/>
    <n v="290.45"/>
    <x v="2"/>
    <n v="2022"/>
    <x v="0"/>
    <n v="2"/>
    <d v="2022-02-01T00:00:00"/>
    <x v="0"/>
    <n v="1484.3899999999999"/>
    <n v="1111.962857142857"/>
    <n v="1.3349276825793257"/>
    <n v="680.2299999999999"/>
    <n v="1.1821883774605648"/>
    <x v="0"/>
  </r>
  <r>
    <x v="160"/>
    <x v="6"/>
    <x v="6"/>
    <n v="20"/>
    <n v="244.72"/>
    <x v="1"/>
    <n v="2022"/>
    <x v="1"/>
    <n v="3"/>
    <d v="2022-03-01T00:00:00"/>
    <x v="1"/>
    <n v="760.68999999999994"/>
    <n v="1313.9597333333331"/>
    <n v="0.57892946085207286"/>
    <n v="930.81000000000006"/>
    <n v="-0.18276554828590164"/>
    <x v="1"/>
  </r>
  <r>
    <x v="30"/>
    <x v="1"/>
    <x v="0"/>
    <n v="4"/>
    <n v="75.989999999999995"/>
    <x v="2"/>
    <n v="2022"/>
    <x v="3"/>
    <n v="6"/>
    <d v="2022-06-01T00:00:00"/>
    <x v="3"/>
    <n v="1013.7"/>
    <n v="862.01874999999984"/>
    <n v="1.1759604996991078"/>
    <n v="459.62"/>
    <n v="1.2055176014968889"/>
    <x v="0"/>
  </r>
  <r>
    <x v="161"/>
    <x v="4"/>
    <x v="3"/>
    <n v="13"/>
    <n v="318.33"/>
    <x v="3"/>
    <n v="2022"/>
    <x v="1"/>
    <n v="3"/>
    <d v="2022-03-01T00:00:00"/>
    <x v="1"/>
    <n v="1095.8999999999999"/>
    <n v="1418.943555555556"/>
    <n v="0.77233516140176861"/>
    <n v="519.11"/>
    <n v="1.1111132515266511"/>
    <x v="0"/>
  </r>
  <r>
    <x v="42"/>
    <x v="4"/>
    <x v="4"/>
    <n v="10"/>
    <n v="220.07"/>
    <x v="3"/>
    <n v="2022"/>
    <x v="2"/>
    <n v="1"/>
    <d v="2022-01-01T00:00:00"/>
    <x v="2"/>
    <n v="680.2299999999999"/>
    <n v="1556.7479999999998"/>
    <n v="0.43695575648724133"/>
    <n v="0"/>
    <n v="0"/>
    <x v="2"/>
  </r>
  <r>
    <x v="162"/>
    <x v="1"/>
    <x v="3"/>
    <n v="17"/>
    <n v="311.83"/>
    <x v="1"/>
    <n v="2022"/>
    <x v="2"/>
    <n v="1"/>
    <d v="2022-01-01T00:00:00"/>
    <x v="2"/>
    <n v="1368.74"/>
    <n v="1418.943555555556"/>
    <n v="0.9646190608787818"/>
    <n v="0"/>
    <n v="0"/>
    <x v="2"/>
  </r>
  <r>
    <x v="163"/>
    <x v="1"/>
    <x v="6"/>
    <n v="12"/>
    <n v="158.5"/>
    <x v="4"/>
    <n v="2022"/>
    <x v="2"/>
    <n v="1"/>
    <d v="2022-01-01T00:00:00"/>
    <x v="2"/>
    <n v="1214.3899999999999"/>
    <n v="821.22483333333321"/>
    <n v="1.4787546000902312"/>
    <n v="0"/>
    <n v="0"/>
    <x v="2"/>
  </r>
  <r>
    <x v="129"/>
    <x v="0"/>
    <x v="5"/>
    <n v="5"/>
    <n v="57.11"/>
    <x v="1"/>
    <n v="2022"/>
    <x v="4"/>
    <n v="7"/>
    <d v="2022-07-01T00:00:00"/>
    <x v="4"/>
    <n v="1698.9899999999998"/>
    <n v="1202.5669090909096"/>
    <n v="1.4128028861898132"/>
    <n v="2252.73"/>
    <n v="-0.24580841911813675"/>
    <x v="1"/>
  </r>
  <r>
    <x v="164"/>
    <x v="2"/>
    <x v="3"/>
    <n v="7"/>
    <n v="125.02"/>
    <x v="0"/>
    <n v="2022"/>
    <x v="0"/>
    <n v="2"/>
    <d v="2022-02-01T00:00:00"/>
    <x v="0"/>
    <n v="519.11"/>
    <n v="1773.6794444444454"/>
    <n v="0.29267408021554675"/>
    <n v="1368.74"/>
    <n v="-0.62073878165319929"/>
    <x v="1"/>
  </r>
  <r>
    <x v="141"/>
    <x v="2"/>
    <x v="5"/>
    <n v="20"/>
    <n v="494.08"/>
    <x v="3"/>
    <n v="2022"/>
    <x v="5"/>
    <n v="4"/>
    <d v="2022-04-01T00:00:00"/>
    <x v="5"/>
    <n v="1623.23"/>
    <n v="1402.9947272727277"/>
    <n v="1.156975125028008"/>
    <n v="1922.5800000000002"/>
    <n v="-0.15570223345712539"/>
    <x v="1"/>
  </r>
  <r>
    <x v="126"/>
    <x v="1"/>
    <x v="3"/>
    <n v="17"/>
    <n v="374.2"/>
    <x v="0"/>
    <n v="2022"/>
    <x v="4"/>
    <n v="7"/>
    <d v="2022-07-01T00:00:00"/>
    <x v="4"/>
    <n v="1767.0500000000002"/>
    <n v="709.47177777777802"/>
    <n v="2.4906558024545955"/>
    <n v="1655.98"/>
    <n v="6.7072066087754775E-2"/>
    <x v="0"/>
  </r>
  <r>
    <x v="137"/>
    <x v="0"/>
    <x v="1"/>
    <n v="15"/>
    <n v="312.47000000000003"/>
    <x v="1"/>
    <n v="2022"/>
    <x v="0"/>
    <n v="2"/>
    <d v="2022-02-01T00:00:00"/>
    <x v="0"/>
    <n v="1170.8000000000002"/>
    <n v="1682.6395384615382"/>
    <n v="0.69581153493545012"/>
    <n v="491.53"/>
    <n v="1.3819502370150352"/>
    <x v="0"/>
  </r>
  <r>
    <x v="33"/>
    <x v="6"/>
    <x v="2"/>
    <n v="16"/>
    <n v="371.27"/>
    <x v="4"/>
    <n v="2022"/>
    <x v="4"/>
    <n v="7"/>
    <d v="2022-07-01T00:00:00"/>
    <x v="4"/>
    <n v="1653.05"/>
    <n v="842.75439393939394"/>
    <n v="1.9614848784981569"/>
    <n v="585.20999999999992"/>
    <n v="1.8247124963688253"/>
    <x v="0"/>
  </r>
  <r>
    <x v="96"/>
    <x v="3"/>
    <x v="0"/>
    <n v="2"/>
    <n v="49.7"/>
    <x v="2"/>
    <n v="2022"/>
    <x v="0"/>
    <n v="2"/>
    <d v="2022-02-01T00:00:00"/>
    <x v="0"/>
    <n v="837.85"/>
    <n v="862.01874999999984"/>
    <n v="0.97196261682243013"/>
    <n v="656.7700000000001"/>
    <n v="0.27571295887449165"/>
    <x v="0"/>
  </r>
  <r>
    <x v="165"/>
    <x v="4"/>
    <x v="5"/>
    <n v="1"/>
    <n v="8.77"/>
    <x v="3"/>
    <n v="2022"/>
    <x v="0"/>
    <n v="2"/>
    <d v="2022-02-01T00:00:00"/>
    <x v="0"/>
    <n v="1770.3600000000001"/>
    <n v="1052.2460454545458"/>
    <n v="1.6824582117913742"/>
    <n v="241.89999999999998"/>
    <n v="6.3185613890037216"/>
    <x v="0"/>
  </r>
  <r>
    <x v="166"/>
    <x v="5"/>
    <x v="4"/>
    <n v="7"/>
    <n v="146.37"/>
    <x v="4"/>
    <n v="2022"/>
    <x v="7"/>
    <n v="8"/>
    <d v="2022-08-01T00:00:00"/>
    <x v="7"/>
    <n v="507.65"/>
    <n v="1945.9349999999999"/>
    <n v="0.26087716187847998"/>
    <n v="1056.4100000000001"/>
    <n v="-0.51945740763529313"/>
    <x v="1"/>
  </r>
  <r>
    <x v="41"/>
    <x v="3"/>
    <x v="2"/>
    <n v="15"/>
    <n v="273.64999999999998"/>
    <x v="1"/>
    <n v="2022"/>
    <x v="6"/>
    <n v="5"/>
    <d v="2022-05-01T00:00:00"/>
    <x v="6"/>
    <n v="1938.8200000000002"/>
    <n v="758.4789545454546"/>
    <n v="2.5561948533719128"/>
    <n v="972.89"/>
    <n v="0.99284605659427083"/>
    <x v="0"/>
  </r>
  <r>
    <x v="33"/>
    <x v="6"/>
    <x v="6"/>
    <n v="14"/>
    <n v="185.36"/>
    <x v="3"/>
    <n v="2022"/>
    <x v="4"/>
    <n v="7"/>
    <d v="2022-07-01T00:00:00"/>
    <x v="4"/>
    <n v="874.87"/>
    <n v="938.54266666666649"/>
    <n v="0.9321579413189528"/>
    <n v="704.09"/>
    <n v="0.24255421892087653"/>
    <x v="0"/>
  </r>
  <r>
    <x v="115"/>
    <x v="4"/>
    <x v="4"/>
    <n v="17"/>
    <n v="219.07"/>
    <x v="1"/>
    <n v="2022"/>
    <x v="1"/>
    <n v="3"/>
    <d v="2022-03-01T00:00:00"/>
    <x v="1"/>
    <n v="690.2"/>
    <n v="1945.9349999999999"/>
    <n v="0.35468810623170871"/>
    <n v="1484.3899999999999"/>
    <n v="-0.53502785656060736"/>
    <x v="1"/>
  </r>
  <r>
    <x v="42"/>
    <x v="6"/>
    <x v="6"/>
    <n v="12"/>
    <n v="134.44"/>
    <x v="2"/>
    <n v="2022"/>
    <x v="2"/>
    <n v="1"/>
    <d v="2022-01-01T00:00:00"/>
    <x v="2"/>
    <n v="1214.3899999999999"/>
    <n v="821.22483333333321"/>
    <n v="1.4787546000902312"/>
    <n v="0"/>
    <n v="0"/>
    <x v="2"/>
  </r>
  <r>
    <x v="17"/>
    <x v="4"/>
    <x v="5"/>
    <n v="19"/>
    <n v="474.65"/>
    <x v="0"/>
    <n v="2022"/>
    <x v="0"/>
    <n v="2"/>
    <d v="2022-02-01T00:00:00"/>
    <x v="0"/>
    <n v="1770.3600000000001"/>
    <n v="1052.2460454545458"/>
    <n v="1.6824582117913742"/>
    <n v="241.89999999999998"/>
    <n v="6.3185613890037216"/>
    <x v="0"/>
  </r>
  <r>
    <x v="1"/>
    <x v="4"/>
    <x v="1"/>
    <n v="14"/>
    <n v="289.68"/>
    <x v="3"/>
    <n v="2022"/>
    <x v="0"/>
    <n v="2"/>
    <d v="2022-02-01T00:00:00"/>
    <x v="0"/>
    <n v="1170.8000000000002"/>
    <n v="1682.6395384615382"/>
    <n v="0.69581153493545012"/>
    <n v="491.53"/>
    <n v="1.3819502370150352"/>
    <x v="0"/>
  </r>
  <r>
    <x v="10"/>
    <x v="2"/>
    <x v="6"/>
    <n v="18"/>
    <n v="401.63"/>
    <x v="0"/>
    <n v="2022"/>
    <x v="5"/>
    <n v="4"/>
    <d v="2022-04-01T00:00:00"/>
    <x v="5"/>
    <n v="865.70999999999992"/>
    <n v="2189.9328888888886"/>
    <n v="0.39531348398499888"/>
    <n v="760.68999999999994"/>
    <n v="0.13805886760704097"/>
    <x v="0"/>
  </r>
  <r>
    <x v="167"/>
    <x v="5"/>
    <x v="6"/>
    <n v="12"/>
    <n v="123.89"/>
    <x v="3"/>
    <n v="2022"/>
    <x v="1"/>
    <n v="3"/>
    <d v="2022-03-01T00:00:00"/>
    <x v="1"/>
    <n v="760.68999999999994"/>
    <n v="1313.9597333333331"/>
    <n v="0.57892946085207286"/>
    <n v="930.81000000000006"/>
    <n v="-0.18276554828590164"/>
    <x v="1"/>
  </r>
  <r>
    <x v="117"/>
    <x v="2"/>
    <x v="4"/>
    <n v="7"/>
    <n v="140.54"/>
    <x v="2"/>
    <n v="2022"/>
    <x v="4"/>
    <n v="7"/>
    <d v="2022-07-01T00:00:00"/>
    <x v="4"/>
    <n v="1056.4100000000001"/>
    <n v="1945.9349999999999"/>
    <n v="0.54288041481344451"/>
    <n v="46.75"/>
    <n v="21.597005347593583"/>
    <x v="0"/>
  </r>
  <r>
    <x v="105"/>
    <x v="1"/>
    <x v="3"/>
    <n v="10"/>
    <n v="209.65"/>
    <x v="3"/>
    <n v="2022"/>
    <x v="4"/>
    <n v="7"/>
    <d v="2022-07-01T00:00:00"/>
    <x v="4"/>
    <n v="1767.0500000000002"/>
    <n v="709.47177777777802"/>
    <n v="2.4906558024545955"/>
    <n v="1655.98"/>
    <n v="6.7072066087754775E-2"/>
    <x v="0"/>
  </r>
  <r>
    <x v="18"/>
    <x v="4"/>
    <x v="0"/>
    <n v="2"/>
    <n v="33.090000000000003"/>
    <x v="2"/>
    <n v="2022"/>
    <x v="2"/>
    <n v="1"/>
    <d v="2022-01-01T00:00:00"/>
    <x v="2"/>
    <n v="656.7700000000001"/>
    <n v="1005.6885416666664"/>
    <n v="0.65305506902919974"/>
    <n v="0"/>
    <n v="0"/>
    <x v="2"/>
  </r>
  <r>
    <x v="105"/>
    <x v="6"/>
    <x v="2"/>
    <n v="8"/>
    <n v="157.03"/>
    <x v="4"/>
    <n v="2022"/>
    <x v="4"/>
    <n v="7"/>
    <d v="2022-07-01T00:00:00"/>
    <x v="4"/>
    <n v="1653.05"/>
    <n v="842.75439393939394"/>
    <n v="1.9614848784981569"/>
    <n v="585.20999999999992"/>
    <n v="1.8247124963688253"/>
    <x v="0"/>
  </r>
  <r>
    <x v="168"/>
    <x v="1"/>
    <x v="3"/>
    <n v="1"/>
    <n v="17.670000000000002"/>
    <x v="4"/>
    <n v="2022"/>
    <x v="4"/>
    <n v="7"/>
    <d v="2022-07-01T00:00:00"/>
    <x v="4"/>
    <n v="1767.0500000000002"/>
    <n v="709.47177777777802"/>
    <n v="2.4906558024545955"/>
    <n v="1655.98"/>
    <n v="6.7072066087754775E-2"/>
    <x v="0"/>
  </r>
  <r>
    <x v="14"/>
    <x v="2"/>
    <x v="3"/>
    <n v="19"/>
    <n v="341.45"/>
    <x v="2"/>
    <n v="2022"/>
    <x v="3"/>
    <n v="6"/>
    <d v="2022-06-01T00:00:00"/>
    <x v="3"/>
    <n v="1655.98"/>
    <n v="591.22648148148176"/>
    <n v="2.8009232533875736"/>
    <n v="1584.09"/>
    <n v="4.5382522457688708E-2"/>
    <x v="0"/>
  </r>
  <r>
    <x v="112"/>
    <x v="3"/>
    <x v="3"/>
    <n v="14"/>
    <n v="194.98"/>
    <x v="4"/>
    <n v="2022"/>
    <x v="3"/>
    <n v="6"/>
    <d v="2022-06-01T00:00:00"/>
    <x v="3"/>
    <n v="1655.98"/>
    <n v="591.22648148148176"/>
    <n v="2.8009232533875736"/>
    <n v="1584.09"/>
    <n v="4.5382522457688708E-2"/>
    <x v="0"/>
  </r>
  <r>
    <x v="169"/>
    <x v="0"/>
    <x v="2"/>
    <n v="8"/>
    <n v="78.790000000000006"/>
    <x v="0"/>
    <n v="2022"/>
    <x v="7"/>
    <n v="8"/>
    <d v="2022-08-01T00:00:00"/>
    <x v="7"/>
    <n v="652.12"/>
    <n v="1896.1973863636363"/>
    <n v="0.34390934440141774"/>
    <n v="1653.05"/>
    <n v="-0.6055049756510692"/>
    <x v="1"/>
  </r>
  <r>
    <x v="123"/>
    <x v="3"/>
    <x v="0"/>
    <n v="14"/>
    <n v="131.03"/>
    <x v="4"/>
    <n v="2022"/>
    <x v="3"/>
    <n v="6"/>
    <d v="2022-06-01T00:00:00"/>
    <x v="3"/>
    <n v="1013.7"/>
    <n v="862.01874999999984"/>
    <n v="1.1759604996991078"/>
    <n v="459.62"/>
    <n v="1.2055176014968889"/>
    <x v="0"/>
  </r>
  <r>
    <x v="163"/>
    <x v="5"/>
    <x v="6"/>
    <n v="2"/>
    <n v="33.67"/>
    <x v="1"/>
    <n v="2022"/>
    <x v="2"/>
    <n v="1"/>
    <d v="2022-01-01T00:00:00"/>
    <x v="2"/>
    <n v="1214.3899999999999"/>
    <n v="821.22483333333321"/>
    <n v="1.4787546000902312"/>
    <n v="0"/>
    <n v="0"/>
    <x v="2"/>
  </r>
  <r>
    <x v="170"/>
    <x v="2"/>
    <x v="3"/>
    <n v="5"/>
    <n v="41.09"/>
    <x v="0"/>
    <n v="2022"/>
    <x v="3"/>
    <n v="6"/>
    <d v="2022-06-01T00:00:00"/>
    <x v="3"/>
    <n v="1655.98"/>
    <n v="591.22648148148176"/>
    <n v="2.8009232533875736"/>
    <n v="1584.09"/>
    <n v="4.5382522457688708E-2"/>
    <x v="0"/>
  </r>
  <r>
    <x v="111"/>
    <x v="0"/>
    <x v="2"/>
    <n v="1"/>
    <n v="17.39"/>
    <x v="1"/>
    <n v="2022"/>
    <x v="3"/>
    <n v="6"/>
    <d v="2022-06-01T00:00:00"/>
    <x v="3"/>
    <n v="585.20999999999992"/>
    <n v="1896.1973863636363"/>
    <n v="0.30862293356614373"/>
    <n v="1938.8200000000002"/>
    <n v="-0.69816176849836498"/>
    <x v="1"/>
  </r>
  <r>
    <x v="124"/>
    <x v="1"/>
    <x v="5"/>
    <n v="18"/>
    <n v="364.2"/>
    <x v="4"/>
    <n v="2022"/>
    <x v="4"/>
    <n v="7"/>
    <d v="2022-07-01T00:00:00"/>
    <x v="4"/>
    <n v="1698.9899999999998"/>
    <n v="1202.5669090909096"/>
    <n v="1.4128028861898132"/>
    <n v="2252.73"/>
    <n v="-0.24580841911813675"/>
    <x v="1"/>
  </r>
  <r>
    <x v="171"/>
    <x v="3"/>
    <x v="0"/>
    <n v="6"/>
    <n v="68.209999999999994"/>
    <x v="2"/>
    <n v="2022"/>
    <x v="2"/>
    <n v="1"/>
    <d v="2022-01-01T00:00:00"/>
    <x v="2"/>
    <n v="656.7700000000001"/>
    <n v="1005.6885416666664"/>
    <n v="0.65305506902919974"/>
    <n v="0"/>
    <n v="0"/>
    <x v="2"/>
  </r>
  <r>
    <x v="172"/>
    <x v="3"/>
    <x v="4"/>
    <n v="20"/>
    <n v="479.93"/>
    <x v="1"/>
    <n v="2022"/>
    <x v="4"/>
    <n v="7"/>
    <d v="2022-07-01T00:00:00"/>
    <x v="4"/>
    <n v="1056.4100000000001"/>
    <n v="1945.9349999999999"/>
    <n v="0.54288041481344451"/>
    <n v="46.75"/>
    <n v="21.597005347593583"/>
    <x v="0"/>
  </r>
  <r>
    <x v="173"/>
    <x v="6"/>
    <x v="3"/>
    <n v="6"/>
    <n v="136.59"/>
    <x v="2"/>
    <n v="2022"/>
    <x v="6"/>
    <n v="5"/>
    <d v="2022-05-01T00:00:00"/>
    <x v="6"/>
    <n v="1584.09"/>
    <n v="709.47177777777802"/>
    <n v="2.2327738038597094"/>
    <n v="377.24"/>
    <n v="3.1991570353090868"/>
    <x v="0"/>
  </r>
  <r>
    <x v="54"/>
    <x v="4"/>
    <x v="5"/>
    <n v="2"/>
    <n v="45.31"/>
    <x v="3"/>
    <n v="2022"/>
    <x v="7"/>
    <n v="8"/>
    <d v="2022-08-01T00:00:00"/>
    <x v="7"/>
    <n v="1328.57"/>
    <n v="1052.2460454545458"/>
    <n v="1.2626039373006992"/>
    <n v="1698.9899999999998"/>
    <n v="-0.21802364934461055"/>
    <x v="1"/>
  </r>
  <r>
    <x v="174"/>
    <x v="1"/>
    <x v="5"/>
    <n v="11"/>
    <n v="246.17"/>
    <x v="1"/>
    <n v="2022"/>
    <x v="1"/>
    <n v="3"/>
    <d v="2022-03-01T00:00:00"/>
    <x v="1"/>
    <n v="1922.5800000000002"/>
    <n v="841.79683636363654"/>
    <n v="2.2839002440364253"/>
    <n v="1770.3600000000001"/>
    <n v="8.5982512031451241E-2"/>
    <x v="0"/>
  </r>
  <r>
    <x v="162"/>
    <x v="3"/>
    <x v="2"/>
    <n v="15"/>
    <n v="362.44"/>
    <x v="1"/>
    <n v="2022"/>
    <x v="2"/>
    <n v="1"/>
    <d v="2022-01-01T00:00:00"/>
    <x v="2"/>
    <n v="882.82999999999993"/>
    <n v="1896.1973863636363"/>
    <n v="0.46557916720527454"/>
    <n v="0"/>
    <n v="0"/>
    <x v="2"/>
  </r>
  <r>
    <x v="66"/>
    <x v="3"/>
    <x v="0"/>
    <n v="7"/>
    <n v="133.38"/>
    <x v="2"/>
    <n v="2022"/>
    <x v="0"/>
    <n v="2"/>
    <d v="2022-02-01T00:00:00"/>
    <x v="0"/>
    <n v="837.85"/>
    <n v="862.01874999999984"/>
    <n v="0.97196261682243013"/>
    <n v="656.7700000000001"/>
    <n v="0.27571295887449165"/>
    <x v="0"/>
  </r>
  <r>
    <x v="10"/>
    <x v="4"/>
    <x v="6"/>
    <n v="1"/>
    <n v="16.87"/>
    <x v="1"/>
    <n v="2022"/>
    <x v="5"/>
    <n v="4"/>
    <d v="2022-04-01T00:00:00"/>
    <x v="5"/>
    <n v="865.70999999999992"/>
    <n v="2189.9328888888886"/>
    <n v="0.39531348398499888"/>
    <n v="760.68999999999994"/>
    <n v="0.13805886760704097"/>
    <x v="0"/>
  </r>
  <r>
    <x v="27"/>
    <x v="5"/>
    <x v="0"/>
    <n v="15"/>
    <n v="191.54"/>
    <x v="1"/>
    <n v="2022"/>
    <x v="0"/>
    <n v="2"/>
    <d v="2022-02-01T00:00:00"/>
    <x v="0"/>
    <n v="837.85"/>
    <n v="862.01874999999984"/>
    <n v="0.97196261682243013"/>
    <n v="656.7700000000001"/>
    <n v="0.27571295887449165"/>
    <x v="0"/>
  </r>
  <r>
    <x v="121"/>
    <x v="1"/>
    <x v="1"/>
    <n v="2"/>
    <n v="26.91"/>
    <x v="4"/>
    <n v="2022"/>
    <x v="0"/>
    <n v="2"/>
    <d v="2022-02-01T00:00:00"/>
    <x v="0"/>
    <n v="1170.8000000000002"/>
    <n v="1682.6395384615382"/>
    <n v="0.69581153493545012"/>
    <n v="491.53"/>
    <n v="1.3819502370150352"/>
    <x v="0"/>
  </r>
  <r>
    <x v="142"/>
    <x v="3"/>
    <x v="3"/>
    <n v="3"/>
    <n v="59.95"/>
    <x v="2"/>
    <n v="2022"/>
    <x v="7"/>
    <n v="8"/>
    <d v="2022-08-01T00:00:00"/>
    <x v="7"/>
    <n v="753.67000000000007"/>
    <n v="1418.943555555556"/>
    <n v="0.53114868244700353"/>
    <n v="1767.0500000000002"/>
    <n v="-0.57348688492119637"/>
    <x v="1"/>
  </r>
  <r>
    <x v="10"/>
    <x v="4"/>
    <x v="1"/>
    <n v="14"/>
    <n v="183.32"/>
    <x v="4"/>
    <n v="2022"/>
    <x v="5"/>
    <n v="4"/>
    <d v="2022-04-01T00:00:00"/>
    <x v="5"/>
    <n v="2185.4700000000003"/>
    <n v="841.31976923076911"/>
    <n v="2.5976686628892689"/>
    <n v="274.01"/>
    <n v="6.9758767928177816"/>
    <x v="0"/>
  </r>
  <r>
    <x v="164"/>
    <x v="5"/>
    <x v="4"/>
    <n v="15"/>
    <n v="321.39999999999998"/>
    <x v="2"/>
    <n v="2022"/>
    <x v="0"/>
    <n v="2"/>
    <d v="2022-02-01T00:00:00"/>
    <x v="0"/>
    <n v="1484.3899999999999"/>
    <n v="1111.962857142857"/>
    <n v="1.3349276825793257"/>
    <n v="680.2299999999999"/>
    <n v="1.1821883774605648"/>
    <x v="0"/>
  </r>
  <r>
    <x v="152"/>
    <x v="4"/>
    <x v="5"/>
    <n v="2"/>
    <n v="31.15"/>
    <x v="3"/>
    <n v="2022"/>
    <x v="1"/>
    <n v="3"/>
    <d v="2022-03-01T00:00:00"/>
    <x v="1"/>
    <n v="1922.5800000000002"/>
    <n v="841.79683636363654"/>
    <n v="2.2839002440364253"/>
    <n v="1770.3600000000001"/>
    <n v="8.5982512031451241E-2"/>
    <x v="0"/>
  </r>
  <r>
    <x v="114"/>
    <x v="5"/>
    <x v="5"/>
    <n v="8"/>
    <n v="89.9"/>
    <x v="4"/>
    <n v="2022"/>
    <x v="6"/>
    <n v="5"/>
    <d v="2022-05-01T00:00:00"/>
    <x v="6"/>
    <n v="185.17000000000002"/>
    <n v="2805.9894545454554"/>
    <n v="6.5990982147149893E-2"/>
    <n v="1623.23"/>
    <n v="-0.88592497674389947"/>
    <x v="1"/>
  </r>
  <r>
    <x v="175"/>
    <x v="1"/>
    <x v="4"/>
    <n v="5"/>
    <n v="64.41"/>
    <x v="3"/>
    <n v="2022"/>
    <x v="5"/>
    <n v="4"/>
    <d v="2022-04-01T00:00:00"/>
    <x v="5"/>
    <n v="740.37"/>
    <n v="1556.7479999999998"/>
    <n v="0.47558757101342036"/>
    <n v="690.2"/>
    <n v="7.2689075630252037E-2"/>
    <x v="0"/>
  </r>
  <r>
    <x v="3"/>
    <x v="1"/>
    <x v="0"/>
    <n v="20"/>
    <n v="186.45"/>
    <x v="0"/>
    <n v="2022"/>
    <x v="1"/>
    <n v="3"/>
    <d v="2022-03-01T00:00:00"/>
    <x v="1"/>
    <n v="1795.9"/>
    <n v="862.01874999999984"/>
    <n v="2.0833653560319894"/>
    <n v="837.85"/>
    <n v="1.1434624336098347"/>
    <x v="0"/>
  </r>
  <r>
    <x v="139"/>
    <x v="5"/>
    <x v="5"/>
    <n v="19"/>
    <n v="468.28"/>
    <x v="0"/>
    <n v="2022"/>
    <x v="7"/>
    <n v="8"/>
    <d v="2022-08-01T00:00:00"/>
    <x v="7"/>
    <n v="1328.57"/>
    <n v="1052.2460454545458"/>
    <n v="1.2626039373006992"/>
    <n v="1698.9899999999998"/>
    <n v="-0.21802364934461055"/>
    <x v="1"/>
  </r>
  <r>
    <x v="176"/>
    <x v="0"/>
    <x v="1"/>
    <n v="9"/>
    <n v="188.06"/>
    <x v="3"/>
    <n v="2022"/>
    <x v="7"/>
    <n v="8"/>
    <d v="2022-08-01T00:00:00"/>
    <x v="7"/>
    <n v="1721.52"/>
    <n v="841.31976923076911"/>
    <n v="2.046213654974506"/>
    <n v="1166.76"/>
    <n v="0.47547053378586857"/>
    <x v="0"/>
  </r>
  <r>
    <x v="14"/>
    <x v="1"/>
    <x v="0"/>
    <n v="4"/>
    <n v="48.71"/>
    <x v="1"/>
    <n v="2022"/>
    <x v="3"/>
    <n v="6"/>
    <d v="2022-06-01T00:00:00"/>
    <x v="3"/>
    <n v="1013.7"/>
    <n v="862.01874999999984"/>
    <n v="1.1759604996991078"/>
    <n v="459.62"/>
    <n v="1.2055176014968889"/>
    <x v="0"/>
  </r>
  <r>
    <x v="177"/>
    <x v="4"/>
    <x v="4"/>
    <n v="18"/>
    <n v="161.49"/>
    <x v="0"/>
    <n v="2022"/>
    <x v="5"/>
    <n v="4"/>
    <d v="2022-04-01T00:00:00"/>
    <x v="5"/>
    <n v="740.37"/>
    <n v="1556.7479999999998"/>
    <n v="0.47558757101342036"/>
    <n v="690.2"/>
    <n v="7.2689075630252037E-2"/>
    <x v="0"/>
  </r>
  <r>
    <x v="165"/>
    <x v="1"/>
    <x v="1"/>
    <n v="5"/>
    <n v="120.28"/>
    <x v="3"/>
    <n v="2022"/>
    <x v="0"/>
    <n v="2"/>
    <d v="2022-02-01T00:00:00"/>
    <x v="0"/>
    <n v="1170.8000000000002"/>
    <n v="1682.6395384615382"/>
    <n v="0.69581153493545012"/>
    <n v="491.53"/>
    <n v="1.3819502370150352"/>
    <x v="0"/>
  </r>
  <r>
    <x v="42"/>
    <x v="1"/>
    <x v="4"/>
    <n v="8"/>
    <n v="149.88999999999999"/>
    <x v="1"/>
    <n v="2022"/>
    <x v="2"/>
    <n v="1"/>
    <d v="2022-01-01T00:00:00"/>
    <x v="2"/>
    <n v="680.2299999999999"/>
    <n v="1556.7479999999998"/>
    <n v="0.43695575648724133"/>
    <n v="0"/>
    <n v="0"/>
    <x v="2"/>
  </r>
  <r>
    <x v="39"/>
    <x v="5"/>
    <x v="5"/>
    <n v="9"/>
    <n v="128.33000000000001"/>
    <x v="0"/>
    <n v="2022"/>
    <x v="7"/>
    <n v="8"/>
    <d v="2022-08-01T00:00:00"/>
    <x v="7"/>
    <n v="1328.57"/>
    <n v="1052.2460454545458"/>
    <n v="1.2626039373006992"/>
    <n v="1698.9899999999998"/>
    <n v="-0.21802364934461055"/>
    <x v="1"/>
  </r>
  <r>
    <x v="125"/>
    <x v="1"/>
    <x v="1"/>
    <n v="4"/>
    <n v="73.27"/>
    <x v="3"/>
    <n v="2022"/>
    <x v="4"/>
    <n v="7"/>
    <d v="2022-07-01T00:00:00"/>
    <x v="4"/>
    <n v="1166.76"/>
    <n v="1682.6395384615382"/>
    <n v="0.69341054535470237"/>
    <n v="761.09999999999991"/>
    <n v="0.53299172250689808"/>
    <x v="0"/>
  </r>
  <r>
    <x v="119"/>
    <x v="3"/>
    <x v="3"/>
    <n v="5"/>
    <n v="103.86"/>
    <x v="4"/>
    <n v="2022"/>
    <x v="7"/>
    <n v="8"/>
    <d v="2022-08-01T00:00:00"/>
    <x v="7"/>
    <n v="753.67000000000007"/>
    <n v="1418.943555555556"/>
    <n v="0.53114868244700353"/>
    <n v="1767.0500000000002"/>
    <n v="-0.57348688492119637"/>
    <x v="1"/>
  </r>
  <r>
    <x v="96"/>
    <x v="3"/>
    <x v="4"/>
    <n v="15"/>
    <n v="302.45999999999998"/>
    <x v="2"/>
    <n v="2022"/>
    <x v="0"/>
    <n v="2"/>
    <d v="2022-02-01T00:00:00"/>
    <x v="0"/>
    <n v="1484.3899999999999"/>
    <n v="1111.962857142857"/>
    <n v="1.3349276825793257"/>
    <n v="680.2299999999999"/>
    <n v="1.1821883774605648"/>
    <x v="0"/>
  </r>
  <r>
    <x v="25"/>
    <x v="6"/>
    <x v="6"/>
    <n v="3"/>
    <n v="52.5"/>
    <x v="4"/>
    <n v="2022"/>
    <x v="7"/>
    <n v="8"/>
    <d v="2022-08-01T00:00:00"/>
    <x v="7"/>
    <n v="896.81"/>
    <n v="1094.9664444444443"/>
    <n v="0.81902966483600015"/>
    <n v="874.87"/>
    <n v="2.5078011590293346E-2"/>
    <x v="0"/>
  </r>
  <r>
    <x v="16"/>
    <x v="5"/>
    <x v="0"/>
    <n v="5"/>
    <n v="65.67"/>
    <x v="2"/>
    <n v="2022"/>
    <x v="5"/>
    <n v="4"/>
    <d v="2022-04-01T00:00:00"/>
    <x v="5"/>
    <n v="574.2399999999999"/>
    <n v="1206.8262499999996"/>
    <n v="0.47582657404079509"/>
    <n v="1795.9"/>
    <n v="-0.68024945709672047"/>
    <x v="1"/>
  </r>
  <r>
    <x v="178"/>
    <x v="4"/>
    <x v="6"/>
    <n v="17"/>
    <n v="247.43"/>
    <x v="3"/>
    <n v="2022"/>
    <x v="2"/>
    <n v="1"/>
    <d v="2022-01-01T00:00:00"/>
    <x v="2"/>
    <n v="1214.3899999999999"/>
    <n v="821.22483333333321"/>
    <n v="1.4787546000902312"/>
    <n v="0"/>
    <n v="0"/>
    <x v="2"/>
  </r>
  <r>
    <x v="75"/>
    <x v="3"/>
    <x v="5"/>
    <n v="3"/>
    <n v="65.98"/>
    <x v="2"/>
    <n v="2022"/>
    <x v="7"/>
    <n v="8"/>
    <d v="2022-08-01T00:00:00"/>
    <x v="7"/>
    <n v="1328.57"/>
    <n v="1052.2460454545458"/>
    <n v="1.2626039373006992"/>
    <n v="1698.9899999999998"/>
    <n v="-0.21802364934461055"/>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x v="0"/>
    <s v="Pain Relief Tablets"/>
    <x v="0"/>
    <n v="7"/>
    <n v="67.430000000000007"/>
    <s v="Australia"/>
    <n v="2022"/>
    <x v="0"/>
    <n v="2"/>
    <d v="2022-02-01T00:00:00"/>
    <x v="0"/>
    <n v="837.85"/>
    <n v="862.01874999999984"/>
    <n v="0.97196261682243013"/>
    <n v="656.7700000000001"/>
    <n v="0.27571295887449165"/>
    <x v="0"/>
    <n v="1"/>
  </r>
  <r>
    <x v="1"/>
    <s v="Antiseptic Cream"/>
    <x v="1"/>
    <n v="18"/>
    <n v="421.46"/>
    <s v="Canada"/>
    <n v="2022"/>
    <x v="0"/>
    <n v="2"/>
    <d v="2022-02-01T00:00:00"/>
    <x v="0"/>
    <n v="1170.8000000000002"/>
    <n v="1682.6395384615382"/>
    <n v="0.69581153493545012"/>
    <n v="491.53"/>
    <n v="1.3819502370150352"/>
    <x v="0"/>
    <n v="1"/>
  </r>
  <r>
    <x v="2"/>
    <s v="Cough Syrup"/>
    <x v="2"/>
    <n v="2"/>
    <n v="48.25"/>
    <s v="UK"/>
    <n v="2022"/>
    <x v="0"/>
    <n v="2"/>
    <d v="2022-02-01T00:00:00"/>
    <x v="0"/>
    <n v="738.18000000000006"/>
    <n v="1264.1315909090908"/>
    <n v="0.58394237222498602"/>
    <n v="882.82999999999993"/>
    <n v="-0.16384807947169883"/>
    <x v="1"/>
    <n v="1"/>
  </r>
  <r>
    <x v="3"/>
    <s v="Pain Relief Tablets"/>
    <x v="1"/>
    <n v="5"/>
    <n v="59.89"/>
    <s v="UK"/>
    <n v="2022"/>
    <x v="1"/>
    <n v="3"/>
    <d v="2022-03-01T00:00:00"/>
    <x v="1"/>
    <n v="274.01"/>
    <n v="2804.3992307692306"/>
    <n v="9.770720124068806E-2"/>
    <n v="1170.8000000000002"/>
    <n v="-0.76596344379911174"/>
    <x v="1"/>
    <n v="1"/>
  </r>
  <r>
    <x v="4"/>
    <s v="Digestive Enzyme"/>
    <x v="2"/>
    <n v="8"/>
    <n v="147.72999999999999"/>
    <s v="USA"/>
    <n v="2022"/>
    <x v="2"/>
    <n v="1"/>
    <d v="2022-01-01T00:00:00"/>
    <x v="2"/>
    <n v="882.82999999999993"/>
    <n v="1896.1973863636363"/>
    <n v="0.46557916720527454"/>
    <n v="0"/>
    <n v="0"/>
    <x v="2"/>
    <n v="1"/>
  </r>
  <r>
    <x v="5"/>
    <s v="Digestive Enzyme"/>
    <x v="2"/>
    <n v="18"/>
    <n v="400.87"/>
    <s v="USA"/>
    <n v="2022"/>
    <x v="0"/>
    <n v="2"/>
    <d v="2022-02-01T00:00:00"/>
    <x v="0"/>
    <n v="738.18000000000006"/>
    <n v="1264.1315909090908"/>
    <n v="0.58394237222498602"/>
    <n v="882.82999999999993"/>
    <n v="-0.16384807947169883"/>
    <x v="1"/>
    <n v="0"/>
  </r>
  <r>
    <x v="6"/>
    <s v="Antiseptic Cream"/>
    <x v="1"/>
    <n v="3"/>
    <n v="50.35"/>
    <s v="Australia"/>
    <n v="2022"/>
    <x v="3"/>
    <n v="6"/>
    <d v="2022-06-01T00:00:00"/>
    <x v="3"/>
    <n v="761.09999999999991"/>
    <n v="1402.1996153846153"/>
    <n v="0.54279005046741124"/>
    <n v="2645.1499999999996"/>
    <n v="-0.71226584503714341"/>
    <x v="1"/>
    <n v="1"/>
  </r>
  <r>
    <x v="7"/>
    <s v="Eye Drops"/>
    <x v="2"/>
    <n v="13"/>
    <n v="282.43"/>
    <s v="USA"/>
    <n v="2022"/>
    <x v="4"/>
    <n v="7"/>
    <d v="2022-07-01T00:00:00"/>
    <x v="4"/>
    <n v="1653.05"/>
    <n v="842.75439393939394"/>
    <n v="1.9614848784981569"/>
    <n v="585.20999999999992"/>
    <n v="1.8247124963688253"/>
    <x v="0"/>
    <n v="1"/>
  </r>
  <r>
    <x v="8"/>
    <s v="Nasal Spray"/>
    <x v="3"/>
    <n v="17"/>
    <n v="394.01"/>
    <s v="UK"/>
    <n v="2022"/>
    <x v="1"/>
    <n v="3"/>
    <d v="2022-03-01T00:00:00"/>
    <x v="1"/>
    <n v="1095.8999999999999"/>
    <n v="1418.943555555556"/>
    <n v="0.77233516140176861"/>
    <n v="519.11"/>
    <n v="1.1111132515266511"/>
    <x v="0"/>
    <n v="1"/>
  </r>
  <r>
    <x v="9"/>
    <s v="Antiseptic Cream"/>
    <x v="4"/>
    <n v="7"/>
    <n v="89.29"/>
    <s v="Australia"/>
    <n v="2022"/>
    <x v="2"/>
    <n v="1"/>
    <d v="2022-01-01T00:00:00"/>
    <x v="2"/>
    <n v="680.2299999999999"/>
    <n v="1556.7479999999998"/>
    <n v="0.43695575648724133"/>
    <n v="0"/>
    <n v="0"/>
    <x v="2"/>
    <n v="1"/>
  </r>
  <r>
    <x v="10"/>
    <s v="Cough Syrup"/>
    <x v="0"/>
    <n v="11"/>
    <n v="150.72999999999999"/>
    <s v="Canada"/>
    <n v="2022"/>
    <x v="5"/>
    <n v="4"/>
    <d v="2022-04-01T00:00:00"/>
    <x v="5"/>
    <n v="574.2399999999999"/>
    <n v="1206.8262499999996"/>
    <n v="0.47582657404079509"/>
    <n v="1795.9"/>
    <n v="-0.68024945709672047"/>
    <x v="1"/>
    <n v="1"/>
  </r>
  <r>
    <x v="11"/>
    <s v="Pain Relief Tablets"/>
    <x v="2"/>
    <n v="5"/>
    <n v="63.41"/>
    <s v="USA"/>
    <n v="2022"/>
    <x v="0"/>
    <n v="2"/>
    <d v="2022-02-01T00:00:00"/>
    <x v="0"/>
    <n v="738.18000000000006"/>
    <n v="1264.1315909090908"/>
    <n v="0.58394237222498602"/>
    <n v="882.82999999999993"/>
    <n v="-0.16384807947169883"/>
    <x v="1"/>
    <n v="0"/>
  </r>
  <r>
    <x v="12"/>
    <s v="Pain Relief Tablets"/>
    <x v="0"/>
    <n v="18"/>
    <n v="175.89"/>
    <s v="USA"/>
    <n v="2022"/>
    <x v="3"/>
    <n v="6"/>
    <d v="2022-06-01T00:00:00"/>
    <x v="3"/>
    <n v="1013.7"/>
    <n v="862.01874999999984"/>
    <n v="1.1759604996991078"/>
    <n v="459.62"/>
    <n v="1.2055176014968889"/>
    <x v="0"/>
    <n v="1"/>
  </r>
  <r>
    <x v="13"/>
    <s v="Nasal Spray"/>
    <x v="3"/>
    <n v="18"/>
    <n v="296.97000000000003"/>
    <s v="Australia"/>
    <n v="2022"/>
    <x v="3"/>
    <n v="6"/>
    <d v="2022-06-01T00:00:00"/>
    <x v="3"/>
    <n v="1655.98"/>
    <n v="591.22648148148176"/>
    <n v="2.8009232533875736"/>
    <n v="1584.09"/>
    <n v="4.5382522457688708E-2"/>
    <x v="0"/>
    <n v="1"/>
  </r>
  <r>
    <x v="14"/>
    <s v="Cough Syrup"/>
    <x v="2"/>
    <n v="12"/>
    <n v="177.75"/>
    <s v="USA"/>
    <n v="2022"/>
    <x v="3"/>
    <n v="6"/>
    <d v="2022-06-01T00:00:00"/>
    <x v="3"/>
    <n v="585.20999999999992"/>
    <n v="1896.1973863636363"/>
    <n v="0.30862293356614373"/>
    <n v="1938.8200000000002"/>
    <n v="-0.69816176849836498"/>
    <x v="1"/>
    <n v="1"/>
  </r>
  <r>
    <x v="15"/>
    <s v="Cough Syrup"/>
    <x v="1"/>
    <n v="14"/>
    <n v="285.08999999999997"/>
    <s v="Canada"/>
    <n v="2022"/>
    <x v="5"/>
    <n v="4"/>
    <d v="2022-04-01T00:00:00"/>
    <x v="5"/>
    <n v="2185.4700000000003"/>
    <n v="841.31976923076911"/>
    <n v="2.5976686628892689"/>
    <n v="274.01"/>
    <n v="6.9758767928177816"/>
    <x v="0"/>
    <n v="1"/>
  </r>
  <r>
    <x v="16"/>
    <s v="Pain Relief Tablets"/>
    <x v="2"/>
    <n v="12"/>
    <n v="277.22000000000003"/>
    <s v="Australia"/>
    <n v="2022"/>
    <x v="5"/>
    <n v="4"/>
    <d v="2022-04-01T00:00:00"/>
    <x v="5"/>
    <n v="972.89"/>
    <n v="1516.9579090909092"/>
    <n v="0.64134277831283981"/>
    <n v="522.87"/>
    <n v="0.86067282498517794"/>
    <x v="0"/>
    <n v="1"/>
  </r>
  <r>
    <x v="17"/>
    <s v="Nasal Spray"/>
    <x v="3"/>
    <n v="17"/>
    <n v="175.18"/>
    <s v="Canada"/>
    <n v="2022"/>
    <x v="0"/>
    <n v="2"/>
    <d v="2022-02-01T00:00:00"/>
    <x v="0"/>
    <n v="519.11"/>
    <n v="1773.6794444444454"/>
    <n v="0.29267408021554675"/>
    <n v="1368.74"/>
    <n v="-0.62073878165319929"/>
    <x v="1"/>
    <n v="1"/>
  </r>
  <r>
    <x v="18"/>
    <s v="Antiseptic Cream"/>
    <x v="2"/>
    <n v="12"/>
    <n v="192.16"/>
    <s v="Australia"/>
    <n v="2022"/>
    <x v="2"/>
    <n v="1"/>
    <d v="2022-01-01T00:00:00"/>
    <x v="2"/>
    <n v="882.82999999999993"/>
    <n v="1896.1973863636363"/>
    <n v="0.46557916720527454"/>
    <n v="0"/>
    <n v="0"/>
    <x v="2"/>
    <n v="0"/>
  </r>
  <r>
    <x v="19"/>
    <s v="Allergy Pills"/>
    <x v="1"/>
    <n v="9"/>
    <n v="123.12"/>
    <s v="India"/>
    <n v="2022"/>
    <x v="6"/>
    <n v="5"/>
    <d v="2022-05-01T00:00:00"/>
    <x v="6"/>
    <n v="2645.1499999999996"/>
    <n v="764.83615384615382"/>
    <n v="3.4584531428048435"/>
    <n v="2185.4700000000003"/>
    <n v="0.21033461909795118"/>
    <x v="0"/>
    <n v="1"/>
  </r>
  <r>
    <x v="20"/>
    <s v="Pain Relief Tablets"/>
    <x v="0"/>
    <n v="15"/>
    <n v="238.86"/>
    <s v="Australia"/>
    <n v="2022"/>
    <x v="3"/>
    <n v="6"/>
    <d v="2022-06-01T00:00:00"/>
    <x v="3"/>
    <n v="1013.7"/>
    <n v="862.01874999999984"/>
    <n v="1.1759604996991078"/>
    <n v="459.62"/>
    <n v="1.2055176014968889"/>
    <x v="0"/>
    <n v="0"/>
  </r>
  <r>
    <x v="21"/>
    <s v="Eye Drops"/>
    <x v="4"/>
    <n v="20"/>
    <n v="272.37"/>
    <s v="UK"/>
    <n v="2022"/>
    <x v="4"/>
    <n v="7"/>
    <d v="2022-07-01T00:00:00"/>
    <x v="4"/>
    <n v="1056.4100000000001"/>
    <n v="1945.9349999999999"/>
    <n v="0.54288041481344451"/>
    <n v="46.75"/>
    <n v="21.597005347593583"/>
    <x v="0"/>
    <n v="1"/>
  </r>
  <r>
    <x v="22"/>
    <s v="Allergy Pills"/>
    <x v="5"/>
    <n v="8"/>
    <n v="82.86"/>
    <s v="USA"/>
    <n v="2022"/>
    <x v="6"/>
    <n v="5"/>
    <d v="2022-05-01T00:00:00"/>
    <x v="6"/>
    <n v="185.17000000000002"/>
    <n v="2805.9894545454554"/>
    <n v="6.5990982147149893E-2"/>
    <n v="1623.23"/>
    <n v="-0.88592497674389947"/>
    <x v="1"/>
    <n v="1"/>
  </r>
  <r>
    <x v="23"/>
    <s v="Eye Drops"/>
    <x v="6"/>
    <n v="19"/>
    <n v="447.21"/>
    <s v="India"/>
    <n v="2022"/>
    <x v="5"/>
    <n v="4"/>
    <d v="2022-04-01T00:00:00"/>
    <x v="5"/>
    <n v="865.70999999999992"/>
    <n v="2189.9328888888886"/>
    <n v="0.39531348398499888"/>
    <n v="760.68999999999994"/>
    <n v="0.13805886760704097"/>
    <x v="0"/>
    <n v="1"/>
  </r>
  <r>
    <x v="12"/>
    <s v="Eye Drops"/>
    <x v="3"/>
    <n v="1"/>
    <n v="9.98"/>
    <s v="Canada"/>
    <n v="2022"/>
    <x v="3"/>
    <n v="6"/>
    <d v="2022-06-01T00:00:00"/>
    <x v="3"/>
    <n v="1655.98"/>
    <n v="591.22648148148176"/>
    <n v="2.8009232533875736"/>
    <n v="1584.09"/>
    <n v="4.5382522457688708E-2"/>
    <x v="0"/>
    <n v="0"/>
  </r>
  <r>
    <x v="24"/>
    <s v="Pain Relief Tablets"/>
    <x v="5"/>
    <n v="5"/>
    <n v="101.4"/>
    <s v="India"/>
    <n v="2022"/>
    <x v="4"/>
    <n v="7"/>
    <d v="2022-07-01T00:00:00"/>
    <x v="4"/>
    <n v="1698.9899999999998"/>
    <n v="1202.5669090909096"/>
    <n v="1.4128028861898132"/>
    <n v="2252.73"/>
    <n v="-0.24580841911813675"/>
    <x v="1"/>
    <n v="1"/>
  </r>
  <r>
    <x v="25"/>
    <s v="Digestive Enzyme"/>
    <x v="4"/>
    <n v="13"/>
    <n v="206.79"/>
    <s v="India"/>
    <n v="2022"/>
    <x v="7"/>
    <n v="8"/>
    <d v="2022-08-01T00:00:00"/>
    <x v="7"/>
    <n v="507.65"/>
    <n v="1945.9349999999999"/>
    <n v="0.26087716187847998"/>
    <n v="1056.4100000000001"/>
    <n v="-0.51945740763529313"/>
    <x v="1"/>
    <n v="1"/>
  </r>
  <r>
    <x v="26"/>
    <s v="Allergy Pills"/>
    <x v="6"/>
    <n v="11"/>
    <n v="153.08000000000001"/>
    <s v="UK"/>
    <n v="2022"/>
    <x v="4"/>
    <n v="7"/>
    <d v="2022-07-01T00:00:00"/>
    <x v="4"/>
    <n v="874.87"/>
    <n v="938.54266666666649"/>
    <n v="0.9321579413189528"/>
    <n v="704.09"/>
    <n v="0.24255421892087653"/>
    <x v="0"/>
    <n v="1"/>
  </r>
  <r>
    <x v="27"/>
    <s v="Digestive Enzyme"/>
    <x v="6"/>
    <n v="18"/>
    <n v="411.44"/>
    <s v="USA"/>
    <n v="2022"/>
    <x v="0"/>
    <n v="2"/>
    <d v="2022-02-01T00:00:00"/>
    <x v="0"/>
    <n v="930.81000000000006"/>
    <n v="1094.9664444444443"/>
    <n v="0.85008084468950762"/>
    <n v="1214.3899999999999"/>
    <n v="-0.23351641564900885"/>
    <x v="1"/>
    <n v="1"/>
  </r>
  <r>
    <x v="28"/>
    <s v="Allergy Pills"/>
    <x v="5"/>
    <n v="5"/>
    <n v="46.92"/>
    <s v="Canada"/>
    <n v="2022"/>
    <x v="1"/>
    <n v="3"/>
    <d v="2022-03-01T00:00:00"/>
    <x v="1"/>
    <n v="1922.5800000000002"/>
    <n v="841.79683636363654"/>
    <n v="2.2839002440364253"/>
    <n v="1770.3600000000001"/>
    <n v="8.5982512031451241E-2"/>
    <x v="0"/>
    <n v="1"/>
  </r>
  <r>
    <x v="29"/>
    <s v="Cough Syrup"/>
    <x v="0"/>
    <n v="3"/>
    <n v="42.85"/>
    <s v="UK"/>
    <n v="2022"/>
    <x v="3"/>
    <n v="6"/>
    <d v="2022-06-01T00:00:00"/>
    <x v="3"/>
    <n v="1013.7"/>
    <n v="862.01874999999984"/>
    <n v="1.1759604996991078"/>
    <n v="459.62"/>
    <n v="1.2055176014968889"/>
    <x v="0"/>
    <n v="0"/>
  </r>
  <r>
    <x v="30"/>
    <s v="Eye Drops"/>
    <x v="3"/>
    <n v="2"/>
    <n v="40.17"/>
    <s v="UK"/>
    <n v="2022"/>
    <x v="3"/>
    <n v="6"/>
    <d v="2022-06-01T00:00:00"/>
    <x v="3"/>
    <n v="1655.98"/>
    <n v="591.22648148148176"/>
    <n v="2.8009232533875736"/>
    <n v="1584.09"/>
    <n v="4.5382522457688708E-2"/>
    <x v="0"/>
    <n v="0"/>
  </r>
  <r>
    <x v="31"/>
    <s v="Antiseptic Cream"/>
    <x v="5"/>
    <n v="13"/>
    <n v="243.79"/>
    <s v="Canada"/>
    <n v="2022"/>
    <x v="1"/>
    <n v="3"/>
    <d v="2022-03-01T00:00:00"/>
    <x v="1"/>
    <n v="1922.5800000000002"/>
    <n v="841.79683636363654"/>
    <n v="2.2839002440364253"/>
    <n v="1770.3600000000001"/>
    <n v="8.5982512031451241E-2"/>
    <x v="0"/>
    <n v="0"/>
  </r>
  <r>
    <x v="32"/>
    <s v="Antiseptic Cream"/>
    <x v="3"/>
    <n v="2"/>
    <n v="44.86"/>
    <s v="UK"/>
    <n v="2022"/>
    <x v="1"/>
    <n v="3"/>
    <d v="2022-03-01T00:00:00"/>
    <x v="1"/>
    <n v="1095.8999999999999"/>
    <n v="1418.943555555556"/>
    <n v="0.77233516140176861"/>
    <n v="519.11"/>
    <n v="1.1111132515266511"/>
    <x v="0"/>
    <n v="0"/>
  </r>
  <r>
    <x v="33"/>
    <s v="Digestive Enzyme"/>
    <x v="1"/>
    <n v="19"/>
    <n v="288.39999999999998"/>
    <s v="UK"/>
    <n v="2022"/>
    <x v="4"/>
    <n v="7"/>
    <d v="2022-07-01T00:00:00"/>
    <x v="4"/>
    <n v="1166.76"/>
    <n v="1682.6395384615382"/>
    <n v="0.69341054535470237"/>
    <n v="761.09999999999991"/>
    <n v="0.53299172250689808"/>
    <x v="0"/>
    <n v="1"/>
  </r>
  <r>
    <x v="34"/>
    <s v="Cough Syrup"/>
    <x v="6"/>
    <n v="9"/>
    <n v="137.02000000000001"/>
    <s v="India"/>
    <n v="2022"/>
    <x v="4"/>
    <n v="7"/>
    <d v="2022-07-01T00:00:00"/>
    <x v="4"/>
    <n v="874.87"/>
    <n v="938.54266666666649"/>
    <n v="0.9321579413189528"/>
    <n v="704.09"/>
    <n v="0.24255421892087653"/>
    <x v="0"/>
    <n v="0"/>
  </r>
  <r>
    <x v="35"/>
    <s v="Antiseptic Cream"/>
    <x v="3"/>
    <n v="11"/>
    <n v="228.69"/>
    <s v="India"/>
    <n v="2022"/>
    <x v="6"/>
    <n v="5"/>
    <d v="2022-05-01T00:00:00"/>
    <x v="6"/>
    <n v="1584.09"/>
    <n v="709.47177777777802"/>
    <n v="2.2327738038597094"/>
    <n v="377.24"/>
    <n v="3.1991570353090868"/>
    <x v="0"/>
    <n v="1"/>
  </r>
  <r>
    <x v="36"/>
    <s v="Digestive Enzyme"/>
    <x v="5"/>
    <n v="14"/>
    <n v="287.52999999999997"/>
    <s v="USA"/>
    <n v="2022"/>
    <x v="3"/>
    <n v="6"/>
    <d v="2022-06-01T00:00:00"/>
    <x v="3"/>
    <n v="2252.73"/>
    <n v="765.26985123966961"/>
    <n v="2.9437067151551526"/>
    <n v="185.17000000000002"/>
    <n v="11.165739590646432"/>
    <x v="0"/>
    <n v="1"/>
  </r>
  <r>
    <x v="37"/>
    <s v="Digestive Enzyme"/>
    <x v="5"/>
    <n v="14"/>
    <n v="294.16000000000003"/>
    <s v="Australia"/>
    <n v="2022"/>
    <x v="5"/>
    <n v="4"/>
    <d v="2022-04-01T00:00:00"/>
    <x v="5"/>
    <n v="1623.23"/>
    <n v="1402.9947272727277"/>
    <n v="1.156975125028008"/>
    <n v="1922.5800000000002"/>
    <n v="-0.15570223345712539"/>
    <x v="1"/>
    <n v="1"/>
  </r>
  <r>
    <x v="38"/>
    <s v="Antiseptic Cream"/>
    <x v="1"/>
    <n v="19"/>
    <n v="217.38"/>
    <s v="India"/>
    <n v="2022"/>
    <x v="4"/>
    <n v="7"/>
    <d v="2022-07-01T00:00:00"/>
    <x v="4"/>
    <n v="1166.76"/>
    <n v="1682.6395384615382"/>
    <n v="0.69341054535470237"/>
    <n v="761.09999999999991"/>
    <n v="0.53299172250689808"/>
    <x v="0"/>
    <n v="0"/>
  </r>
  <r>
    <x v="39"/>
    <s v="Cough Syrup"/>
    <x v="0"/>
    <n v="13"/>
    <n v="232.97"/>
    <s v="Canada"/>
    <n v="2022"/>
    <x v="7"/>
    <n v="8"/>
    <d v="2022-08-01T00:00:00"/>
    <x v="7"/>
    <n v="1020.76"/>
    <n v="1206.8262499999996"/>
    <n v="0.8458218405507838"/>
    <n v="537.31000000000006"/>
    <n v="0.89975991513279086"/>
    <x v="0"/>
    <n v="1"/>
  </r>
  <r>
    <x v="22"/>
    <s v="Antiseptic Cream"/>
    <x v="2"/>
    <n v="3"/>
    <n v="34.74"/>
    <s v="UK"/>
    <n v="2022"/>
    <x v="6"/>
    <n v="5"/>
    <d v="2022-05-01T00:00:00"/>
    <x v="6"/>
    <n v="1938.8200000000002"/>
    <n v="758.4789545454546"/>
    <n v="2.5561948533719128"/>
    <n v="972.89"/>
    <n v="0.99284605659427083"/>
    <x v="0"/>
    <n v="1"/>
  </r>
  <r>
    <x v="40"/>
    <s v="Allergy Pills"/>
    <x v="0"/>
    <n v="7"/>
    <n v="152.22999999999999"/>
    <s v="USA"/>
    <n v="2022"/>
    <x v="5"/>
    <n v="4"/>
    <d v="2022-04-01T00:00:00"/>
    <x v="5"/>
    <n v="574.2399999999999"/>
    <n v="1206.8262499999996"/>
    <n v="0.47582657404079509"/>
    <n v="1795.9"/>
    <n v="-0.68024945709672047"/>
    <x v="1"/>
    <n v="0"/>
  </r>
  <r>
    <x v="41"/>
    <s v="Nasal Spray"/>
    <x v="6"/>
    <n v="11"/>
    <n v="197.71"/>
    <s v="UK"/>
    <n v="2022"/>
    <x v="6"/>
    <n v="5"/>
    <d v="2022-05-01T00:00:00"/>
    <x v="6"/>
    <n v="791.69999999999993"/>
    <n v="1094.9664444444443"/>
    <n v="0.72303585558887751"/>
    <n v="865.70999999999992"/>
    <n v="-8.5490522230308064E-2"/>
    <x v="1"/>
    <n v="1"/>
  </r>
  <r>
    <x v="42"/>
    <s v="Allergy Pills"/>
    <x v="0"/>
    <n v="10"/>
    <n v="161.56"/>
    <s v="USA"/>
    <n v="2022"/>
    <x v="2"/>
    <n v="1"/>
    <d v="2022-01-01T00:00:00"/>
    <x v="2"/>
    <n v="656.7700000000001"/>
    <n v="1005.6885416666664"/>
    <n v="0.65305506902919974"/>
    <n v="0"/>
    <n v="0"/>
    <x v="2"/>
    <n v="1"/>
  </r>
  <r>
    <x v="43"/>
    <s v="Antiseptic Cream"/>
    <x v="3"/>
    <n v="16"/>
    <n v="339.11"/>
    <s v="UK"/>
    <n v="2022"/>
    <x v="6"/>
    <n v="5"/>
    <d v="2022-05-01T00:00:00"/>
    <x v="6"/>
    <n v="1584.09"/>
    <n v="709.47177777777802"/>
    <n v="2.2327738038597094"/>
    <n v="377.24"/>
    <n v="3.1991570353090868"/>
    <x v="0"/>
    <n v="0"/>
  </r>
  <r>
    <x v="44"/>
    <s v="Antiseptic Cream"/>
    <x v="4"/>
    <n v="1"/>
    <n v="11.64"/>
    <s v="UK"/>
    <n v="2022"/>
    <x v="1"/>
    <n v="3"/>
    <d v="2022-03-01T00:00:00"/>
    <x v="1"/>
    <n v="690.2"/>
    <n v="1945.9349999999999"/>
    <n v="0.35468810623170871"/>
    <n v="1484.3899999999999"/>
    <n v="-0.53502785656060736"/>
    <x v="1"/>
    <n v="1"/>
  </r>
  <r>
    <x v="45"/>
    <s v="Antiseptic Cream"/>
    <x v="3"/>
    <n v="3"/>
    <n v="36.54"/>
    <s v="Australia"/>
    <n v="2022"/>
    <x v="6"/>
    <n v="5"/>
    <d v="2022-05-01T00:00:00"/>
    <x v="6"/>
    <n v="1584.09"/>
    <n v="709.47177777777802"/>
    <n v="2.2327738038597094"/>
    <n v="377.24"/>
    <n v="3.1991570353090868"/>
    <x v="0"/>
    <n v="0"/>
  </r>
  <r>
    <x v="46"/>
    <s v="Cough Syrup"/>
    <x v="4"/>
    <n v="16"/>
    <n v="163.57"/>
    <s v="USA"/>
    <n v="2022"/>
    <x v="4"/>
    <n v="7"/>
    <d v="2022-07-01T00:00:00"/>
    <x v="4"/>
    <n v="1056.4100000000001"/>
    <n v="1945.9349999999999"/>
    <n v="0.54288041481344451"/>
    <n v="46.75"/>
    <n v="21.597005347593583"/>
    <x v="0"/>
    <n v="0"/>
  </r>
  <r>
    <x v="47"/>
    <s v="Cough Syrup"/>
    <x v="3"/>
    <n v="11"/>
    <n v="221.08"/>
    <s v="India"/>
    <n v="2022"/>
    <x v="5"/>
    <n v="4"/>
    <d v="2022-04-01T00:00:00"/>
    <x v="5"/>
    <n v="377.24"/>
    <n v="2364.905925925927"/>
    <n v="0.15951585890347836"/>
    <n v="1095.8999999999999"/>
    <n v="-0.65577151199926997"/>
    <x v="1"/>
    <n v="1"/>
  </r>
  <r>
    <x v="48"/>
    <s v="Digestive Enzyme"/>
    <x v="1"/>
    <n v="14"/>
    <n v="201.96"/>
    <s v="USA"/>
    <n v="2022"/>
    <x v="2"/>
    <n v="1"/>
    <d v="2022-01-01T00:00:00"/>
    <x v="2"/>
    <n v="491.53"/>
    <n v="4206.5988461538454"/>
    <n v="0.11684736719057796"/>
    <n v="0"/>
    <n v="0"/>
    <x v="2"/>
    <n v="1"/>
  </r>
  <r>
    <x v="49"/>
    <s v="Cough Syrup"/>
    <x v="5"/>
    <n v="7"/>
    <n v="134.24"/>
    <s v="UK"/>
    <n v="2022"/>
    <x v="3"/>
    <n v="6"/>
    <d v="2022-06-01T00:00:00"/>
    <x v="3"/>
    <n v="2252.73"/>
    <n v="765.26985123966961"/>
    <n v="2.9437067151551526"/>
    <n v="185.17000000000002"/>
    <n v="11.165739590646432"/>
    <x v="0"/>
    <n v="0"/>
  </r>
  <r>
    <x v="50"/>
    <s v="Allergy Pills"/>
    <x v="4"/>
    <n v="8"/>
    <n v="85.5"/>
    <s v="Canada"/>
    <n v="2022"/>
    <x v="7"/>
    <n v="8"/>
    <d v="2022-08-01T00:00:00"/>
    <x v="7"/>
    <n v="507.65"/>
    <n v="1945.9349999999999"/>
    <n v="0.26087716187847998"/>
    <n v="1056.4100000000001"/>
    <n v="-0.51945740763529313"/>
    <x v="1"/>
    <n v="0"/>
  </r>
  <r>
    <x v="48"/>
    <s v="Pain Relief Tablets"/>
    <x v="6"/>
    <n v="3"/>
    <n v="42.45"/>
    <s v="India"/>
    <n v="2022"/>
    <x v="2"/>
    <n v="1"/>
    <d v="2022-01-01T00:00:00"/>
    <x v="2"/>
    <n v="1214.3899999999999"/>
    <n v="821.22483333333321"/>
    <n v="1.4787546000902312"/>
    <n v="0"/>
    <n v="0"/>
    <x v="2"/>
    <n v="1"/>
  </r>
  <r>
    <x v="51"/>
    <s v="Nasal Spray"/>
    <x v="6"/>
    <n v="4"/>
    <n v="43.61"/>
    <s v="UK"/>
    <n v="2022"/>
    <x v="4"/>
    <n v="7"/>
    <d v="2022-07-01T00:00:00"/>
    <x v="4"/>
    <n v="874.87"/>
    <n v="938.54266666666649"/>
    <n v="0.9321579413189528"/>
    <n v="704.09"/>
    <n v="0.24255421892087653"/>
    <x v="0"/>
    <n v="0"/>
  </r>
  <r>
    <x v="52"/>
    <s v="Digestive Enzyme"/>
    <x v="5"/>
    <n v="7"/>
    <n v="134.53"/>
    <s v="UK"/>
    <n v="2022"/>
    <x v="1"/>
    <n v="3"/>
    <d v="2022-03-01T00:00:00"/>
    <x v="1"/>
    <n v="1922.5800000000002"/>
    <n v="841.79683636363654"/>
    <n v="2.2839002440364253"/>
    <n v="1770.3600000000001"/>
    <n v="8.5982512031451241E-2"/>
    <x v="0"/>
    <n v="0"/>
  </r>
  <r>
    <x v="53"/>
    <s v="Pain Relief Tablets"/>
    <x v="0"/>
    <n v="7"/>
    <n v="141.33000000000001"/>
    <s v="USA"/>
    <n v="2022"/>
    <x v="5"/>
    <n v="4"/>
    <d v="2022-04-01T00:00:00"/>
    <x v="5"/>
    <n v="574.2399999999999"/>
    <n v="1206.8262499999996"/>
    <n v="0.47582657404079509"/>
    <n v="1795.9"/>
    <n v="-0.68024945709672047"/>
    <x v="1"/>
    <n v="0"/>
  </r>
  <r>
    <x v="54"/>
    <s v="Cough Syrup"/>
    <x v="1"/>
    <n v="18"/>
    <n v="336.53"/>
    <s v="UK"/>
    <n v="2022"/>
    <x v="7"/>
    <n v="8"/>
    <d v="2022-08-01T00:00:00"/>
    <x v="7"/>
    <n v="1721.52"/>
    <n v="841.31976923076911"/>
    <n v="2.046213654974506"/>
    <n v="1166.76"/>
    <n v="0.47547053378586857"/>
    <x v="0"/>
    <n v="1"/>
  </r>
  <r>
    <x v="55"/>
    <s v="Nasal Spray"/>
    <x v="5"/>
    <n v="20"/>
    <n v="470.78"/>
    <s v="Australia"/>
    <n v="2022"/>
    <x v="5"/>
    <n v="4"/>
    <d v="2022-04-01T00:00:00"/>
    <x v="5"/>
    <n v="1623.23"/>
    <n v="1402.9947272727277"/>
    <n v="1.156975125028008"/>
    <n v="1922.5800000000002"/>
    <n v="-0.15570223345712539"/>
    <x v="1"/>
    <n v="0"/>
  </r>
  <r>
    <x v="28"/>
    <s v="Nasal Spray"/>
    <x v="6"/>
    <n v="14"/>
    <n v="163.03"/>
    <s v="UK"/>
    <n v="2022"/>
    <x v="1"/>
    <n v="3"/>
    <d v="2022-03-01T00:00:00"/>
    <x v="1"/>
    <n v="760.68999999999994"/>
    <n v="1313.9597333333331"/>
    <n v="0.57892946085207286"/>
    <n v="930.81000000000006"/>
    <n v="-0.18276554828590164"/>
    <x v="1"/>
    <n v="1"/>
  </r>
  <r>
    <x v="56"/>
    <s v="Cough Syrup"/>
    <x v="5"/>
    <n v="7"/>
    <n v="88.38"/>
    <s v="India"/>
    <n v="2022"/>
    <x v="3"/>
    <n v="6"/>
    <d v="2022-06-01T00:00:00"/>
    <x v="3"/>
    <n v="2252.73"/>
    <n v="765.26985123966961"/>
    <n v="2.9437067151551526"/>
    <n v="185.17000000000002"/>
    <n v="11.165739590646432"/>
    <x v="0"/>
    <n v="0"/>
  </r>
  <r>
    <x v="57"/>
    <s v="Eye Drops"/>
    <x v="1"/>
    <n v="11"/>
    <n v="127.82"/>
    <s v="USA"/>
    <n v="2022"/>
    <x v="3"/>
    <n v="6"/>
    <d v="2022-06-01T00:00:00"/>
    <x v="3"/>
    <n v="761.09999999999991"/>
    <n v="1402.1996153846153"/>
    <n v="0.54279005046741124"/>
    <n v="2645.1499999999996"/>
    <n v="-0.71226584503714341"/>
    <x v="1"/>
    <n v="0"/>
  </r>
  <r>
    <x v="58"/>
    <s v="Eye Drops"/>
    <x v="3"/>
    <n v="2"/>
    <n v="30.78"/>
    <s v="Canada"/>
    <n v="2022"/>
    <x v="5"/>
    <n v="4"/>
    <d v="2022-04-01T00:00:00"/>
    <x v="5"/>
    <n v="377.24"/>
    <n v="2364.905925925927"/>
    <n v="0.15951585890347836"/>
    <n v="1095.8999999999999"/>
    <n v="-0.65577151199926997"/>
    <x v="1"/>
    <n v="0"/>
  </r>
  <r>
    <x v="59"/>
    <s v="Nasal Spray"/>
    <x v="6"/>
    <n v="11"/>
    <n v="211.91"/>
    <s v="USA"/>
    <n v="2022"/>
    <x v="2"/>
    <n v="1"/>
    <d v="2022-01-01T00:00:00"/>
    <x v="2"/>
    <n v="1214.3899999999999"/>
    <n v="821.22483333333321"/>
    <n v="1.4787546000902312"/>
    <n v="0"/>
    <n v="0"/>
    <x v="2"/>
    <n v="0"/>
  </r>
  <r>
    <x v="60"/>
    <s v="Cough Syrup"/>
    <x v="1"/>
    <n v="2"/>
    <n v="34.090000000000003"/>
    <s v="USA"/>
    <n v="2022"/>
    <x v="7"/>
    <n v="8"/>
    <d v="2022-08-01T00:00:00"/>
    <x v="7"/>
    <n v="1721.52"/>
    <n v="841.31976923076911"/>
    <n v="2.046213654974506"/>
    <n v="1166.76"/>
    <n v="0.47547053378586857"/>
    <x v="0"/>
    <n v="0"/>
  </r>
  <r>
    <x v="34"/>
    <s v="Nasal Spray"/>
    <x v="2"/>
    <n v="9"/>
    <n v="158.69"/>
    <s v="India"/>
    <n v="2022"/>
    <x v="4"/>
    <n v="7"/>
    <d v="2022-07-01T00:00:00"/>
    <x v="4"/>
    <n v="1653.05"/>
    <n v="842.75439393939394"/>
    <n v="1.9614848784981569"/>
    <n v="585.20999999999992"/>
    <n v="1.8247124963688253"/>
    <x v="0"/>
    <n v="0"/>
  </r>
  <r>
    <x v="61"/>
    <s v="Nasal Spray"/>
    <x v="1"/>
    <n v="15"/>
    <n v="355.23"/>
    <s v="Canada"/>
    <n v="2022"/>
    <x v="6"/>
    <n v="5"/>
    <d v="2022-05-01T00:00:00"/>
    <x v="6"/>
    <n v="2645.1499999999996"/>
    <n v="764.83615384615382"/>
    <n v="3.4584531428048435"/>
    <n v="2185.4700000000003"/>
    <n v="0.21033461909795118"/>
    <x v="0"/>
    <n v="0"/>
  </r>
  <r>
    <x v="62"/>
    <s v="Antiseptic Cream"/>
    <x v="2"/>
    <n v="9"/>
    <n v="202.58"/>
    <s v="Canada"/>
    <n v="2022"/>
    <x v="5"/>
    <n v="4"/>
    <d v="2022-04-01T00:00:00"/>
    <x v="5"/>
    <n v="972.89"/>
    <n v="1516.9579090909092"/>
    <n v="0.64134277831283981"/>
    <n v="522.87"/>
    <n v="0.86067282498517794"/>
    <x v="0"/>
    <n v="0"/>
  </r>
  <r>
    <x v="60"/>
    <s v="Allergy Pills"/>
    <x v="1"/>
    <n v="10"/>
    <n v="245.9"/>
    <s v="USA"/>
    <n v="2022"/>
    <x v="7"/>
    <n v="8"/>
    <d v="2022-08-01T00:00:00"/>
    <x v="7"/>
    <n v="1721.52"/>
    <n v="841.31976923076911"/>
    <n v="2.046213654974506"/>
    <n v="1166.76"/>
    <n v="0.47547053378586857"/>
    <x v="0"/>
    <n v="0"/>
  </r>
  <r>
    <x v="63"/>
    <s v="Nasal Spray"/>
    <x v="2"/>
    <n v="12"/>
    <n v="270.74"/>
    <s v="Australia"/>
    <n v="2022"/>
    <x v="7"/>
    <n v="8"/>
    <d v="2022-08-01T00:00:00"/>
    <x v="7"/>
    <n v="652.12"/>
    <n v="1896.1973863636363"/>
    <n v="0.34390934440141774"/>
    <n v="1653.05"/>
    <n v="-0.6055049756510692"/>
    <x v="1"/>
    <n v="1"/>
  </r>
  <r>
    <x v="64"/>
    <s v="Eye Drops"/>
    <x v="2"/>
    <n v="5"/>
    <n v="88.84"/>
    <s v="India"/>
    <n v="2022"/>
    <x v="7"/>
    <n v="8"/>
    <d v="2022-08-01T00:00:00"/>
    <x v="7"/>
    <n v="652.12"/>
    <n v="1896.1973863636363"/>
    <n v="0.34390934440141774"/>
    <n v="1653.05"/>
    <n v="-0.6055049756510692"/>
    <x v="1"/>
    <n v="0"/>
  </r>
  <r>
    <x v="65"/>
    <s v="Cough Syrup"/>
    <x v="5"/>
    <n v="20"/>
    <n v="433.81"/>
    <s v="USA"/>
    <n v="2022"/>
    <x v="1"/>
    <n v="3"/>
    <d v="2022-03-01T00:00:00"/>
    <x v="1"/>
    <n v="1922.5800000000002"/>
    <n v="841.79683636363654"/>
    <n v="2.2839002440364253"/>
    <n v="1770.3600000000001"/>
    <n v="8.5982512031451241E-2"/>
    <x v="0"/>
    <n v="0"/>
  </r>
  <r>
    <x v="7"/>
    <s v="Antiseptic Cream"/>
    <x v="0"/>
    <n v="2"/>
    <n v="29.63"/>
    <s v="Australia"/>
    <n v="2022"/>
    <x v="4"/>
    <n v="7"/>
    <d v="2022-07-01T00:00:00"/>
    <x v="4"/>
    <n v="537.31000000000006"/>
    <n v="862.01874999999984"/>
    <n v="0.62331590815165006"/>
    <n v="1013.7"/>
    <n v="-0.46995166222748347"/>
    <x v="1"/>
    <n v="1"/>
  </r>
  <r>
    <x v="5"/>
    <s v="Eye Drops"/>
    <x v="5"/>
    <n v="15"/>
    <n v="334.05"/>
    <s v="Canada"/>
    <n v="2022"/>
    <x v="0"/>
    <n v="2"/>
    <d v="2022-02-01T00:00:00"/>
    <x v="0"/>
    <n v="1770.3600000000001"/>
    <n v="1052.2460454545458"/>
    <n v="1.6824582117913742"/>
    <n v="241.89999999999998"/>
    <n v="6.3185613890037216"/>
    <x v="0"/>
    <n v="1"/>
  </r>
  <r>
    <x v="66"/>
    <s v="Nasal Spray"/>
    <x v="2"/>
    <n v="4"/>
    <n v="52.1"/>
    <s v="India"/>
    <n v="2022"/>
    <x v="0"/>
    <n v="2"/>
    <d v="2022-02-01T00:00:00"/>
    <x v="0"/>
    <n v="738.18000000000006"/>
    <n v="1264.1315909090908"/>
    <n v="0.58394237222498602"/>
    <n v="882.82999999999993"/>
    <n v="-0.16384807947169883"/>
    <x v="1"/>
    <n v="0"/>
  </r>
  <r>
    <x v="61"/>
    <s v="Antiseptic Cream"/>
    <x v="2"/>
    <n v="6"/>
    <n v="51.97"/>
    <s v="UK"/>
    <n v="2022"/>
    <x v="6"/>
    <n v="5"/>
    <d v="2022-05-01T00:00:00"/>
    <x v="6"/>
    <n v="1938.8200000000002"/>
    <n v="758.4789545454546"/>
    <n v="2.5561948533719128"/>
    <n v="972.89"/>
    <n v="0.99284605659427083"/>
    <x v="0"/>
    <n v="0"/>
  </r>
  <r>
    <x v="67"/>
    <s v="Antiseptic Cream"/>
    <x v="3"/>
    <n v="14"/>
    <n v="324.2"/>
    <s v="USA"/>
    <n v="2022"/>
    <x v="4"/>
    <n v="7"/>
    <d v="2022-07-01T00:00:00"/>
    <x v="4"/>
    <n v="1767.0500000000002"/>
    <n v="709.47177777777802"/>
    <n v="2.4906558024545955"/>
    <n v="1655.98"/>
    <n v="6.7072066087754775E-2"/>
    <x v="0"/>
    <n v="1"/>
  </r>
  <r>
    <x v="68"/>
    <s v="Nasal Spray"/>
    <x v="6"/>
    <n v="9"/>
    <n v="155.31"/>
    <s v="UK"/>
    <n v="2022"/>
    <x v="6"/>
    <n v="5"/>
    <d v="2022-05-01T00:00:00"/>
    <x v="6"/>
    <n v="791.69999999999993"/>
    <n v="1094.9664444444443"/>
    <n v="0.72303585558887751"/>
    <n v="865.70999999999992"/>
    <n v="-8.5490522230308064E-2"/>
    <x v="1"/>
    <n v="0"/>
  </r>
  <r>
    <x v="69"/>
    <s v="Nasal Spray"/>
    <x v="3"/>
    <n v="13"/>
    <n v="205.85"/>
    <s v="UK"/>
    <n v="2022"/>
    <x v="0"/>
    <n v="2"/>
    <d v="2022-02-01T00:00:00"/>
    <x v="0"/>
    <n v="519.11"/>
    <n v="1773.6794444444454"/>
    <n v="0.29267408021554675"/>
    <n v="1368.74"/>
    <n v="-0.62073878165319929"/>
    <x v="1"/>
    <n v="0"/>
  </r>
  <r>
    <x v="15"/>
    <s v="Pain Relief Tablets"/>
    <x v="0"/>
    <n v="4"/>
    <n v="64.28"/>
    <s v="UK"/>
    <n v="2022"/>
    <x v="5"/>
    <n v="4"/>
    <d v="2022-04-01T00:00:00"/>
    <x v="5"/>
    <n v="574.2399999999999"/>
    <n v="1206.8262499999996"/>
    <n v="0.47582657404079509"/>
    <n v="1795.9"/>
    <n v="-0.68024945709672047"/>
    <x v="1"/>
    <n v="0"/>
  </r>
  <r>
    <x v="70"/>
    <s v="Allergy Pills"/>
    <x v="3"/>
    <n v="1"/>
    <n v="8.09"/>
    <s v="India"/>
    <n v="2022"/>
    <x v="3"/>
    <n v="6"/>
    <d v="2022-06-01T00:00:00"/>
    <x v="3"/>
    <n v="1655.98"/>
    <n v="591.22648148148176"/>
    <n v="2.8009232533875736"/>
    <n v="1584.09"/>
    <n v="4.5382522457688708E-2"/>
    <x v="0"/>
    <n v="0"/>
  </r>
  <r>
    <x v="71"/>
    <s v="Digestive Enzyme"/>
    <x v="2"/>
    <n v="10"/>
    <n v="213.75"/>
    <s v="Canada"/>
    <n v="2022"/>
    <x v="7"/>
    <n v="8"/>
    <d v="2022-08-01T00:00:00"/>
    <x v="7"/>
    <n v="652.12"/>
    <n v="1896.1973863636363"/>
    <n v="0.34390934440141774"/>
    <n v="1653.05"/>
    <n v="-0.6055049756510692"/>
    <x v="1"/>
    <n v="0"/>
  </r>
  <r>
    <x v="40"/>
    <s v="Pain Relief Tablets"/>
    <x v="5"/>
    <n v="18"/>
    <n v="244.76"/>
    <s v="India"/>
    <n v="2022"/>
    <x v="5"/>
    <n v="4"/>
    <d v="2022-04-01T00:00:00"/>
    <x v="5"/>
    <n v="1623.23"/>
    <n v="1402.9947272727277"/>
    <n v="1.156975125028008"/>
    <n v="1922.5800000000002"/>
    <n v="-0.15570223345712539"/>
    <x v="1"/>
    <n v="0"/>
  </r>
  <r>
    <x v="10"/>
    <s v="Antiseptic Cream"/>
    <x v="1"/>
    <n v="19"/>
    <n v="316.79000000000002"/>
    <s v="India"/>
    <n v="2022"/>
    <x v="5"/>
    <n v="4"/>
    <d v="2022-04-01T00:00:00"/>
    <x v="5"/>
    <n v="2185.4700000000003"/>
    <n v="841.31976923076911"/>
    <n v="2.5976686628892689"/>
    <n v="274.01"/>
    <n v="6.9758767928177816"/>
    <x v="0"/>
    <n v="0"/>
  </r>
  <r>
    <x v="6"/>
    <s v="Allergy Pills"/>
    <x v="1"/>
    <n v="20"/>
    <n v="219.72"/>
    <s v="USA"/>
    <n v="2022"/>
    <x v="3"/>
    <n v="6"/>
    <d v="2022-06-01T00:00:00"/>
    <x v="3"/>
    <n v="761.09999999999991"/>
    <n v="1402.1996153846153"/>
    <n v="0.54279005046741124"/>
    <n v="2645.1499999999996"/>
    <n v="-0.71226584503714341"/>
    <x v="1"/>
    <n v="0"/>
  </r>
  <r>
    <x v="65"/>
    <s v="Digestive Enzyme"/>
    <x v="2"/>
    <n v="18"/>
    <n v="371.23"/>
    <s v="India"/>
    <n v="2022"/>
    <x v="1"/>
    <n v="3"/>
    <d v="2022-03-01T00:00:00"/>
    <x v="1"/>
    <n v="522.87"/>
    <n v="3792.3947727272725"/>
    <n v="0.13787330468868406"/>
    <n v="738.18000000000006"/>
    <n v="-0.29167682679021384"/>
    <x v="1"/>
    <n v="1"/>
  </r>
  <r>
    <x v="72"/>
    <s v="Digestive Enzyme"/>
    <x v="3"/>
    <n v="12"/>
    <n v="242.44"/>
    <s v="USA"/>
    <n v="2022"/>
    <x v="6"/>
    <n v="5"/>
    <d v="2022-05-01T00:00:00"/>
    <x v="6"/>
    <n v="1584.09"/>
    <n v="709.47177777777802"/>
    <n v="2.2327738038597094"/>
    <n v="377.24"/>
    <n v="3.1991570353090868"/>
    <x v="0"/>
    <n v="0"/>
  </r>
  <r>
    <x v="51"/>
    <s v="Cough Syrup"/>
    <x v="3"/>
    <n v="18"/>
    <n v="214.09"/>
    <s v="UK"/>
    <n v="2022"/>
    <x v="4"/>
    <n v="7"/>
    <d v="2022-07-01T00:00:00"/>
    <x v="4"/>
    <n v="1767.0500000000002"/>
    <n v="709.47177777777802"/>
    <n v="2.4906558024545955"/>
    <n v="1655.98"/>
    <n v="6.7072066087754775E-2"/>
    <x v="0"/>
    <n v="0"/>
  </r>
  <r>
    <x v="73"/>
    <s v="Antiseptic Cream"/>
    <x v="6"/>
    <n v="20"/>
    <n v="183.48"/>
    <s v="India"/>
    <n v="2022"/>
    <x v="1"/>
    <n v="3"/>
    <d v="2022-03-01T00:00:00"/>
    <x v="1"/>
    <n v="760.68999999999994"/>
    <n v="1313.9597333333331"/>
    <n v="0.57892946085207286"/>
    <n v="930.81000000000006"/>
    <n v="-0.18276554828590164"/>
    <x v="1"/>
    <n v="0"/>
  </r>
  <r>
    <x v="74"/>
    <s v="Pain Relief Tablets"/>
    <x v="5"/>
    <n v="11"/>
    <n v="272.97000000000003"/>
    <s v="Australia"/>
    <n v="2022"/>
    <x v="3"/>
    <n v="6"/>
    <d v="2022-06-01T00:00:00"/>
    <x v="3"/>
    <n v="2252.73"/>
    <n v="765.26985123966961"/>
    <n v="2.9437067151551526"/>
    <n v="185.17000000000002"/>
    <n v="11.165739590646432"/>
    <x v="0"/>
    <n v="0"/>
  </r>
  <r>
    <x v="1"/>
    <s v="Cough Syrup"/>
    <x v="2"/>
    <n v="13"/>
    <n v="129.30000000000001"/>
    <s v="UK"/>
    <n v="2022"/>
    <x v="0"/>
    <n v="2"/>
    <d v="2022-02-01T00:00:00"/>
    <x v="0"/>
    <n v="738.18000000000006"/>
    <n v="1264.1315909090908"/>
    <n v="0.58394237222498602"/>
    <n v="882.82999999999993"/>
    <n v="-0.16384807947169883"/>
    <x v="1"/>
    <n v="0"/>
  </r>
  <r>
    <x v="61"/>
    <s v="Digestive Enzyme"/>
    <x v="2"/>
    <n v="5"/>
    <n v="59.7"/>
    <s v="UK"/>
    <n v="2022"/>
    <x v="6"/>
    <n v="5"/>
    <d v="2022-05-01T00:00:00"/>
    <x v="6"/>
    <n v="1938.8200000000002"/>
    <n v="758.4789545454546"/>
    <n v="2.5561948533719128"/>
    <n v="972.89"/>
    <n v="0.99284605659427083"/>
    <x v="0"/>
    <n v="0"/>
  </r>
  <r>
    <x v="75"/>
    <s v="Cough Syrup"/>
    <x v="3"/>
    <n v="20"/>
    <n v="210.82"/>
    <s v="UK"/>
    <n v="2022"/>
    <x v="7"/>
    <n v="8"/>
    <d v="2022-08-01T00:00:00"/>
    <x v="7"/>
    <n v="753.67000000000007"/>
    <n v="1418.943555555556"/>
    <n v="0.53114868244700353"/>
    <n v="1767.0500000000002"/>
    <n v="-0.57348688492119637"/>
    <x v="1"/>
    <n v="1"/>
  </r>
  <r>
    <x v="73"/>
    <s v="Pain Relief Tablets"/>
    <x v="0"/>
    <n v="6"/>
    <n v="115.79"/>
    <s v="Canada"/>
    <n v="2022"/>
    <x v="1"/>
    <n v="3"/>
    <d v="2022-03-01T00:00:00"/>
    <x v="1"/>
    <n v="1795.9"/>
    <n v="862.01874999999984"/>
    <n v="2.0833653560319894"/>
    <n v="837.85"/>
    <n v="1.1434624336098347"/>
    <x v="0"/>
    <n v="1"/>
  </r>
  <r>
    <x v="76"/>
    <s v="Antiseptic Cream"/>
    <x v="5"/>
    <n v="18"/>
    <n v="322.41000000000003"/>
    <s v="UK"/>
    <n v="2022"/>
    <x v="3"/>
    <n v="6"/>
    <d v="2022-06-01T00:00:00"/>
    <x v="3"/>
    <n v="2252.73"/>
    <n v="765.26985123966961"/>
    <n v="2.9437067151551526"/>
    <n v="185.17000000000002"/>
    <n v="11.165739590646432"/>
    <x v="0"/>
    <n v="0"/>
  </r>
  <r>
    <x v="77"/>
    <s v="Antiseptic Cream"/>
    <x v="0"/>
    <n v="4"/>
    <n v="73.39"/>
    <s v="UK"/>
    <n v="2022"/>
    <x v="4"/>
    <n v="7"/>
    <d v="2022-07-01T00:00:00"/>
    <x v="4"/>
    <n v="537.31000000000006"/>
    <n v="862.01874999999984"/>
    <n v="0.62331590815165006"/>
    <n v="1013.7"/>
    <n v="-0.46995166222748347"/>
    <x v="1"/>
    <n v="0"/>
  </r>
  <r>
    <x v="76"/>
    <s v="Nasal Spray"/>
    <x v="1"/>
    <n v="4"/>
    <n v="50.12"/>
    <s v="USA"/>
    <n v="2022"/>
    <x v="3"/>
    <n v="6"/>
    <d v="2022-06-01T00:00:00"/>
    <x v="3"/>
    <n v="761.09999999999991"/>
    <n v="1402.1996153846153"/>
    <n v="0.54279005046741124"/>
    <n v="2645.1499999999996"/>
    <n v="-0.71226584503714341"/>
    <x v="1"/>
    <n v="0"/>
  </r>
  <r>
    <x v="78"/>
    <s v="Allergy Pills"/>
    <x v="6"/>
    <n v="3"/>
    <n v="45.16"/>
    <s v="UK"/>
    <n v="2022"/>
    <x v="0"/>
    <n v="2"/>
    <d v="2022-02-01T00:00:00"/>
    <x v="0"/>
    <n v="930.81000000000006"/>
    <n v="1094.9664444444443"/>
    <n v="0.85008084468950762"/>
    <n v="1214.3899999999999"/>
    <n v="-0.23351641564900885"/>
    <x v="1"/>
    <n v="0"/>
  </r>
  <r>
    <x v="25"/>
    <s v="Digestive Enzyme"/>
    <x v="0"/>
    <n v="16"/>
    <n v="212.81"/>
    <s v="Canada"/>
    <n v="2022"/>
    <x v="7"/>
    <n v="8"/>
    <d v="2022-08-01T00:00:00"/>
    <x v="7"/>
    <n v="1020.76"/>
    <n v="1206.8262499999996"/>
    <n v="0.8458218405507838"/>
    <n v="537.31000000000006"/>
    <n v="0.89975991513279086"/>
    <x v="0"/>
    <n v="0"/>
  </r>
  <r>
    <x v="79"/>
    <s v="Allergy Pills"/>
    <x v="3"/>
    <n v="19"/>
    <n v="192.59"/>
    <s v="USA"/>
    <n v="2022"/>
    <x v="6"/>
    <n v="5"/>
    <d v="2022-05-01T00:00:00"/>
    <x v="6"/>
    <n v="1584.09"/>
    <n v="709.47177777777802"/>
    <n v="2.2327738038597094"/>
    <n v="377.24"/>
    <n v="3.1991570353090868"/>
    <x v="0"/>
    <n v="0"/>
  </r>
  <r>
    <x v="14"/>
    <s v="Allergy Pills"/>
    <x v="1"/>
    <n v="2"/>
    <n v="36.56"/>
    <s v="USA"/>
    <n v="2022"/>
    <x v="3"/>
    <n v="6"/>
    <d v="2022-06-01T00:00:00"/>
    <x v="3"/>
    <n v="761.09999999999991"/>
    <n v="1402.1996153846153"/>
    <n v="0.54279005046741124"/>
    <n v="2645.1499999999996"/>
    <n v="-0.71226584503714341"/>
    <x v="1"/>
    <n v="0"/>
  </r>
  <r>
    <x v="80"/>
    <s v="Cough Syrup"/>
    <x v="3"/>
    <n v="15"/>
    <n v="244.66"/>
    <s v="Canada"/>
    <n v="2022"/>
    <x v="1"/>
    <n v="3"/>
    <d v="2022-03-01T00:00:00"/>
    <x v="1"/>
    <n v="1095.8999999999999"/>
    <n v="1418.943555555556"/>
    <n v="0.77233516140176861"/>
    <n v="519.11"/>
    <n v="1.1111132515266511"/>
    <x v="0"/>
    <n v="0"/>
  </r>
  <r>
    <x v="81"/>
    <s v="Digestive Enzyme"/>
    <x v="4"/>
    <n v="17"/>
    <n v="281.12"/>
    <s v="UK"/>
    <n v="2022"/>
    <x v="6"/>
    <n v="5"/>
    <d v="2022-05-01T00:00:00"/>
    <x v="6"/>
    <n v="1280.45"/>
    <n v="1556.7479999999998"/>
    <n v="0.82251591137422386"/>
    <n v="740.37"/>
    <n v="0.72947310128719434"/>
    <x v="0"/>
    <n v="1"/>
  </r>
  <r>
    <x v="82"/>
    <s v="Nasal Spray"/>
    <x v="6"/>
    <n v="19"/>
    <n v="161.94999999999999"/>
    <s v="UK"/>
    <n v="2022"/>
    <x v="2"/>
    <n v="1"/>
    <d v="2022-01-01T00:00:00"/>
    <x v="2"/>
    <n v="1214.3899999999999"/>
    <n v="821.22483333333321"/>
    <n v="1.4787546000902312"/>
    <n v="0"/>
    <n v="0"/>
    <x v="2"/>
    <n v="0"/>
  </r>
  <r>
    <x v="83"/>
    <s v="Pain Relief Tablets"/>
    <x v="2"/>
    <n v="9"/>
    <n v="180.5"/>
    <s v="Canada"/>
    <n v="2022"/>
    <x v="2"/>
    <n v="1"/>
    <d v="2022-01-01T00:00:00"/>
    <x v="2"/>
    <n v="882.82999999999993"/>
    <n v="1896.1973863636363"/>
    <n v="0.46557916720527454"/>
    <n v="0"/>
    <n v="0"/>
    <x v="2"/>
    <n v="0"/>
  </r>
  <r>
    <x v="84"/>
    <s v="Eye Drops"/>
    <x v="1"/>
    <n v="18"/>
    <n v="426.02"/>
    <s v="UK"/>
    <n v="2022"/>
    <x v="6"/>
    <n v="5"/>
    <d v="2022-05-01T00:00:00"/>
    <x v="6"/>
    <n v="2645.1499999999996"/>
    <n v="764.83615384615382"/>
    <n v="3.4584531428048435"/>
    <n v="2185.4700000000003"/>
    <n v="0.21033461909795118"/>
    <x v="0"/>
    <n v="0"/>
  </r>
  <r>
    <x v="85"/>
    <s v="Allergy Pills"/>
    <x v="3"/>
    <n v="10"/>
    <n v="101.77"/>
    <s v="USA"/>
    <n v="2022"/>
    <x v="4"/>
    <n v="7"/>
    <d v="2022-07-01T00:00:00"/>
    <x v="4"/>
    <n v="1767.0500000000002"/>
    <n v="709.47177777777802"/>
    <n v="2.4906558024545955"/>
    <n v="1655.98"/>
    <n v="6.7072066087754775E-2"/>
    <x v="0"/>
    <n v="0"/>
  </r>
  <r>
    <x v="13"/>
    <s v="Eye Drops"/>
    <x v="3"/>
    <n v="12"/>
    <n v="132.47999999999999"/>
    <s v="Canada"/>
    <n v="2022"/>
    <x v="3"/>
    <n v="6"/>
    <d v="2022-06-01T00:00:00"/>
    <x v="3"/>
    <n v="1655.98"/>
    <n v="591.22648148148176"/>
    <n v="2.8009232533875736"/>
    <n v="1584.09"/>
    <n v="4.5382522457688708E-2"/>
    <x v="0"/>
    <n v="0"/>
  </r>
  <r>
    <x v="86"/>
    <s v="Eye Drops"/>
    <x v="0"/>
    <n v="9"/>
    <n v="82.8"/>
    <s v="Australia"/>
    <n v="2022"/>
    <x v="6"/>
    <n v="5"/>
    <d v="2022-05-01T00:00:00"/>
    <x v="6"/>
    <n v="459.62"/>
    <n v="1508.5328124999996"/>
    <n v="0.30468014761859885"/>
    <n v="574.2399999999999"/>
    <n v="-0.1996029534689327"/>
    <x v="1"/>
    <n v="1"/>
  </r>
  <r>
    <x v="61"/>
    <s v="Eye Drops"/>
    <x v="3"/>
    <n v="1"/>
    <n v="8.51"/>
    <s v="Canada"/>
    <n v="2022"/>
    <x v="6"/>
    <n v="5"/>
    <d v="2022-05-01T00:00:00"/>
    <x v="6"/>
    <n v="1584.09"/>
    <n v="709.47177777777802"/>
    <n v="2.2327738038597094"/>
    <n v="377.24"/>
    <n v="3.1991570353090868"/>
    <x v="0"/>
    <n v="0"/>
  </r>
  <r>
    <x v="42"/>
    <s v="Digestive Enzyme"/>
    <x v="3"/>
    <n v="11"/>
    <n v="90.19"/>
    <s v="USA"/>
    <n v="2022"/>
    <x v="2"/>
    <n v="1"/>
    <d v="2022-01-01T00:00:00"/>
    <x v="2"/>
    <n v="1368.74"/>
    <n v="1418.943555555556"/>
    <n v="0.9646190608787818"/>
    <n v="0"/>
    <n v="0"/>
    <x v="2"/>
    <n v="1"/>
  </r>
  <r>
    <x v="67"/>
    <s v="Nasal Spray"/>
    <x v="2"/>
    <n v="6"/>
    <n v="60.03"/>
    <s v="UK"/>
    <n v="2022"/>
    <x v="4"/>
    <n v="7"/>
    <d v="2022-07-01T00:00:00"/>
    <x v="4"/>
    <n v="1653.05"/>
    <n v="842.75439393939394"/>
    <n v="1.9614848784981569"/>
    <n v="585.20999999999992"/>
    <n v="1.8247124963688253"/>
    <x v="0"/>
    <n v="0"/>
  </r>
  <r>
    <x v="87"/>
    <s v="Nasal Spray"/>
    <x v="4"/>
    <n v="8"/>
    <n v="142.54"/>
    <s v="India"/>
    <n v="2022"/>
    <x v="6"/>
    <n v="5"/>
    <d v="2022-05-01T00:00:00"/>
    <x v="6"/>
    <n v="1280.45"/>
    <n v="1556.7479999999998"/>
    <n v="0.82251591137422386"/>
    <n v="740.37"/>
    <n v="0.72947310128719434"/>
    <x v="0"/>
    <n v="0"/>
  </r>
  <r>
    <x v="88"/>
    <s v="Allergy Pills"/>
    <x v="1"/>
    <n v="4"/>
    <n v="96.7"/>
    <s v="India"/>
    <n v="2022"/>
    <x v="5"/>
    <n v="4"/>
    <d v="2022-04-01T00:00:00"/>
    <x v="5"/>
    <n v="2185.4700000000003"/>
    <n v="841.31976923076911"/>
    <n v="2.5976686628892689"/>
    <n v="274.01"/>
    <n v="6.9758767928177816"/>
    <x v="0"/>
    <n v="0"/>
  </r>
  <r>
    <x v="89"/>
    <s v="Allergy Pills"/>
    <x v="2"/>
    <n v="15"/>
    <n v="151.63999999999999"/>
    <s v="Australia"/>
    <n v="2022"/>
    <x v="1"/>
    <n v="3"/>
    <d v="2022-03-01T00:00:00"/>
    <x v="1"/>
    <n v="522.87"/>
    <n v="3792.3947727272725"/>
    <n v="0.13787330468868406"/>
    <n v="738.18000000000006"/>
    <n v="-0.29167682679021384"/>
    <x v="1"/>
    <n v="0"/>
  </r>
  <r>
    <x v="90"/>
    <s v="Antiseptic Cream"/>
    <x v="0"/>
    <n v="15"/>
    <n v="197.97"/>
    <s v="Canada"/>
    <n v="2022"/>
    <x v="7"/>
    <n v="8"/>
    <d v="2022-08-01T00:00:00"/>
    <x v="7"/>
    <n v="1020.76"/>
    <n v="1206.8262499999996"/>
    <n v="0.8458218405507838"/>
    <n v="537.31000000000006"/>
    <n v="0.89975991513279086"/>
    <x v="0"/>
    <n v="0"/>
  </r>
  <r>
    <x v="91"/>
    <s v="Allergy Pills"/>
    <x v="0"/>
    <n v="9"/>
    <n v="182.35"/>
    <s v="India"/>
    <n v="2022"/>
    <x v="1"/>
    <n v="3"/>
    <d v="2022-03-01T00:00:00"/>
    <x v="1"/>
    <n v="1795.9"/>
    <n v="862.01874999999984"/>
    <n v="2.0833653560319894"/>
    <n v="837.85"/>
    <n v="1.1434624336098347"/>
    <x v="0"/>
    <n v="0"/>
  </r>
  <r>
    <x v="92"/>
    <s v="Digestive Enzyme"/>
    <x v="0"/>
    <n v="19"/>
    <n v="443.56"/>
    <s v="Canada"/>
    <n v="2022"/>
    <x v="1"/>
    <n v="3"/>
    <d v="2022-03-01T00:00:00"/>
    <x v="1"/>
    <n v="1795.9"/>
    <n v="862.01874999999984"/>
    <n v="2.0833653560319894"/>
    <n v="837.85"/>
    <n v="1.1434624336098347"/>
    <x v="0"/>
    <n v="0"/>
  </r>
  <r>
    <x v="93"/>
    <s v="Antiseptic Cream"/>
    <x v="5"/>
    <n v="9"/>
    <n v="89.01"/>
    <s v="Canada"/>
    <n v="2022"/>
    <x v="1"/>
    <n v="3"/>
    <d v="2022-03-01T00:00:00"/>
    <x v="1"/>
    <n v="1922.5800000000002"/>
    <n v="841.79683636363654"/>
    <n v="2.2839002440364253"/>
    <n v="1770.3600000000001"/>
    <n v="8.5982512031451241E-2"/>
    <x v="0"/>
    <n v="0"/>
  </r>
  <r>
    <x v="94"/>
    <s v="Nasal Spray"/>
    <x v="6"/>
    <n v="1"/>
    <n v="10.32"/>
    <s v="USA"/>
    <n v="2022"/>
    <x v="6"/>
    <n v="5"/>
    <d v="2022-05-01T00:00:00"/>
    <x v="6"/>
    <n v="791.69999999999993"/>
    <n v="1094.9664444444443"/>
    <n v="0.72303585558887751"/>
    <n v="865.70999999999992"/>
    <n v="-8.5490522230308064E-2"/>
    <x v="1"/>
    <n v="0"/>
  </r>
  <r>
    <x v="95"/>
    <s v="Allergy Pills"/>
    <x v="4"/>
    <n v="20"/>
    <n v="414.06"/>
    <s v="USA"/>
    <n v="2022"/>
    <x v="6"/>
    <n v="5"/>
    <d v="2022-05-01T00:00:00"/>
    <x v="6"/>
    <n v="1280.45"/>
    <n v="1556.7479999999998"/>
    <n v="0.82251591137422386"/>
    <n v="740.37"/>
    <n v="0.72947310128719434"/>
    <x v="0"/>
    <n v="0"/>
  </r>
  <r>
    <x v="96"/>
    <s v="Cough Syrup"/>
    <x v="4"/>
    <n v="10"/>
    <n v="159.21"/>
    <s v="Australia"/>
    <n v="2022"/>
    <x v="0"/>
    <n v="2"/>
    <d v="2022-02-01T00:00:00"/>
    <x v="0"/>
    <n v="1484.3899999999999"/>
    <n v="1111.962857142857"/>
    <n v="1.3349276825793257"/>
    <n v="680.2299999999999"/>
    <n v="1.1821883774605648"/>
    <x v="0"/>
    <n v="1"/>
  </r>
  <r>
    <x v="97"/>
    <s v="Eye Drops"/>
    <x v="0"/>
    <n v="18"/>
    <n v="195.1"/>
    <s v="Canada"/>
    <n v="2022"/>
    <x v="0"/>
    <n v="2"/>
    <d v="2022-02-01T00:00:00"/>
    <x v="0"/>
    <n v="837.85"/>
    <n v="862.01874999999984"/>
    <n v="0.97196261682243013"/>
    <n v="656.7700000000001"/>
    <n v="0.27571295887449165"/>
    <x v="0"/>
    <n v="0"/>
  </r>
  <r>
    <x v="98"/>
    <s v="Nasal Spray"/>
    <x v="6"/>
    <n v="19"/>
    <n v="386.61"/>
    <s v="USA"/>
    <n v="2022"/>
    <x v="7"/>
    <n v="8"/>
    <d v="2022-08-01T00:00:00"/>
    <x v="7"/>
    <n v="896.81"/>
    <n v="1094.9664444444443"/>
    <n v="0.81902966483600015"/>
    <n v="874.87"/>
    <n v="2.5078011590293346E-2"/>
    <x v="0"/>
    <n v="1"/>
  </r>
  <r>
    <x v="99"/>
    <s v="Digestive Enzyme"/>
    <x v="2"/>
    <n v="1"/>
    <n v="22.99"/>
    <s v="USA"/>
    <n v="2022"/>
    <x v="4"/>
    <n v="7"/>
    <d v="2022-07-01T00:00:00"/>
    <x v="4"/>
    <n v="1653.05"/>
    <n v="842.75439393939394"/>
    <n v="1.9614848784981569"/>
    <n v="585.20999999999992"/>
    <n v="1.8247124963688253"/>
    <x v="0"/>
    <n v="0"/>
  </r>
  <r>
    <x v="43"/>
    <s v="Cough Syrup"/>
    <x v="3"/>
    <n v="17"/>
    <n v="290.44"/>
    <s v="UK"/>
    <n v="2022"/>
    <x v="6"/>
    <n v="5"/>
    <d v="2022-05-01T00:00:00"/>
    <x v="6"/>
    <n v="1584.09"/>
    <n v="709.47177777777802"/>
    <n v="2.2327738038597094"/>
    <n v="377.24"/>
    <n v="3.1991570353090868"/>
    <x v="0"/>
    <n v="0"/>
  </r>
  <r>
    <x v="100"/>
    <s v="Pain Relief Tablets"/>
    <x v="6"/>
    <n v="5"/>
    <n v="79.459999999999994"/>
    <s v="India"/>
    <n v="2022"/>
    <x v="6"/>
    <n v="5"/>
    <d v="2022-05-01T00:00:00"/>
    <x v="6"/>
    <n v="791.69999999999993"/>
    <n v="1094.9664444444443"/>
    <n v="0.72303585558887751"/>
    <n v="865.70999999999992"/>
    <n v="-8.5490522230308064E-2"/>
    <x v="1"/>
    <n v="0"/>
  </r>
  <r>
    <x v="101"/>
    <s v="Eye Drops"/>
    <x v="1"/>
    <n v="2"/>
    <n v="48.19"/>
    <s v="UK"/>
    <n v="2022"/>
    <x v="7"/>
    <n v="8"/>
    <d v="2022-08-01T00:00:00"/>
    <x v="7"/>
    <n v="1721.52"/>
    <n v="841.31976923076911"/>
    <n v="2.046213654974506"/>
    <n v="1166.76"/>
    <n v="0.47547053378586857"/>
    <x v="0"/>
    <n v="0"/>
  </r>
  <r>
    <x v="82"/>
    <s v="Cough Syrup"/>
    <x v="4"/>
    <n v="19"/>
    <n v="166.83"/>
    <s v="India"/>
    <n v="2022"/>
    <x v="2"/>
    <n v="1"/>
    <d v="2022-01-01T00:00:00"/>
    <x v="2"/>
    <n v="680.2299999999999"/>
    <n v="1556.7479999999998"/>
    <n v="0.43695575648724133"/>
    <n v="0"/>
    <n v="0"/>
    <x v="2"/>
    <n v="0"/>
  </r>
  <r>
    <x v="102"/>
    <s v="Digestive Enzyme"/>
    <x v="5"/>
    <n v="3"/>
    <n v="40.32"/>
    <s v="USA"/>
    <n v="2022"/>
    <x v="5"/>
    <n v="4"/>
    <d v="2022-04-01T00:00:00"/>
    <x v="5"/>
    <n v="1623.23"/>
    <n v="1402.9947272727277"/>
    <n v="1.156975125028008"/>
    <n v="1922.5800000000002"/>
    <n v="-0.15570223345712539"/>
    <x v="1"/>
    <n v="0"/>
  </r>
  <r>
    <x v="103"/>
    <s v="Allergy Pills"/>
    <x v="5"/>
    <n v="15"/>
    <n v="176.45"/>
    <s v="USA"/>
    <n v="2022"/>
    <x v="3"/>
    <n v="6"/>
    <d v="2022-06-01T00:00:00"/>
    <x v="3"/>
    <n v="2252.73"/>
    <n v="765.26985123966961"/>
    <n v="2.9437067151551526"/>
    <n v="185.17000000000002"/>
    <n v="11.165739590646432"/>
    <x v="0"/>
    <n v="0"/>
  </r>
  <r>
    <x v="32"/>
    <s v="Antiseptic Cream"/>
    <x v="1"/>
    <n v="1"/>
    <n v="9.4"/>
    <s v="UK"/>
    <n v="2022"/>
    <x v="1"/>
    <n v="3"/>
    <d v="2022-03-01T00:00:00"/>
    <x v="1"/>
    <n v="274.01"/>
    <n v="2804.3992307692306"/>
    <n v="9.770720124068806E-2"/>
    <n v="1170.8000000000002"/>
    <n v="-0.76596344379911174"/>
    <x v="1"/>
    <n v="0"/>
  </r>
  <r>
    <x v="104"/>
    <s v="Allergy Pills"/>
    <x v="5"/>
    <n v="11"/>
    <n v="176.73"/>
    <s v="Australia"/>
    <n v="2022"/>
    <x v="2"/>
    <n v="1"/>
    <d v="2022-01-01T00:00:00"/>
    <x v="2"/>
    <n v="241.89999999999998"/>
    <n v="4208.9841818181831"/>
    <n v="5.7472299621592976E-2"/>
    <n v="0"/>
    <n v="0"/>
    <x v="2"/>
    <n v="1"/>
  </r>
  <r>
    <x v="44"/>
    <s v="Pain Relief Tablets"/>
    <x v="0"/>
    <n v="16"/>
    <n v="235.83"/>
    <s v="Canada"/>
    <n v="2022"/>
    <x v="1"/>
    <n v="3"/>
    <d v="2022-03-01T00:00:00"/>
    <x v="1"/>
    <n v="1795.9"/>
    <n v="862.01874999999984"/>
    <n v="2.0833653560319894"/>
    <n v="837.85"/>
    <n v="1.1434624336098347"/>
    <x v="0"/>
    <n v="0"/>
  </r>
  <r>
    <x v="96"/>
    <s v="Digestive Enzyme"/>
    <x v="6"/>
    <n v="11"/>
    <n v="106.76"/>
    <s v="Canada"/>
    <n v="2022"/>
    <x v="0"/>
    <n v="2"/>
    <d v="2022-02-01T00:00:00"/>
    <x v="0"/>
    <n v="930.81000000000006"/>
    <n v="1094.9664444444443"/>
    <n v="0.85008084468950762"/>
    <n v="1214.3899999999999"/>
    <n v="-0.23351641564900885"/>
    <x v="1"/>
    <n v="0"/>
  </r>
  <r>
    <x v="105"/>
    <s v="Cough Syrup"/>
    <x v="0"/>
    <n v="12"/>
    <n v="100.6"/>
    <s v="USA"/>
    <n v="2022"/>
    <x v="4"/>
    <n v="7"/>
    <d v="2022-07-01T00:00:00"/>
    <x v="4"/>
    <n v="537.31000000000006"/>
    <n v="862.01874999999984"/>
    <n v="0.62331590815165006"/>
    <n v="1013.7"/>
    <n v="-0.46995166222748347"/>
    <x v="1"/>
    <n v="0"/>
  </r>
  <r>
    <x v="106"/>
    <s v="Nasal Spray"/>
    <x v="5"/>
    <n v="11"/>
    <n v="214"/>
    <s v="Canada"/>
    <n v="2022"/>
    <x v="1"/>
    <n v="3"/>
    <d v="2022-03-01T00:00:00"/>
    <x v="1"/>
    <n v="1922.5800000000002"/>
    <n v="841.79683636363654"/>
    <n v="2.2839002440364253"/>
    <n v="1770.3600000000001"/>
    <n v="8.5982512031451241E-2"/>
    <x v="0"/>
    <n v="0"/>
  </r>
  <r>
    <x v="107"/>
    <s v="Eye Drops"/>
    <x v="1"/>
    <n v="13"/>
    <n v="315.98"/>
    <s v="India"/>
    <n v="2022"/>
    <x v="6"/>
    <n v="5"/>
    <d v="2022-05-01T00:00:00"/>
    <x v="6"/>
    <n v="2645.1499999999996"/>
    <n v="764.83615384615382"/>
    <n v="3.4584531428048435"/>
    <n v="2185.4700000000003"/>
    <n v="0.21033461909795118"/>
    <x v="0"/>
    <n v="0"/>
  </r>
  <r>
    <x v="17"/>
    <s v="Eye Drops"/>
    <x v="3"/>
    <n v="1"/>
    <n v="13.06"/>
    <s v="India"/>
    <n v="2022"/>
    <x v="0"/>
    <n v="2"/>
    <d v="2022-02-01T00:00:00"/>
    <x v="0"/>
    <n v="519.11"/>
    <n v="1773.6794444444454"/>
    <n v="0.29267408021554675"/>
    <n v="1368.74"/>
    <n v="-0.62073878165319929"/>
    <x v="1"/>
    <n v="0"/>
  </r>
  <r>
    <x v="78"/>
    <s v="Cough Syrup"/>
    <x v="2"/>
    <n v="3"/>
    <n v="44.25"/>
    <s v="India"/>
    <n v="2022"/>
    <x v="0"/>
    <n v="2"/>
    <d v="2022-02-01T00:00:00"/>
    <x v="0"/>
    <n v="738.18000000000006"/>
    <n v="1264.1315909090908"/>
    <n v="0.58394237222498602"/>
    <n v="882.82999999999993"/>
    <n v="-0.16384807947169883"/>
    <x v="1"/>
    <n v="0"/>
  </r>
  <r>
    <x v="108"/>
    <s v="Pain Relief Tablets"/>
    <x v="2"/>
    <n v="5"/>
    <n v="97.26"/>
    <s v="Canada"/>
    <n v="2022"/>
    <x v="4"/>
    <n v="7"/>
    <d v="2022-07-01T00:00:00"/>
    <x v="4"/>
    <n v="1653.05"/>
    <n v="842.75439393939394"/>
    <n v="1.9614848784981569"/>
    <n v="585.20999999999992"/>
    <n v="1.8247124963688253"/>
    <x v="0"/>
    <n v="0"/>
  </r>
  <r>
    <x v="109"/>
    <s v="Antiseptic Cream"/>
    <x v="5"/>
    <n v="20"/>
    <n v="380.27"/>
    <s v="Canada"/>
    <n v="2022"/>
    <x v="4"/>
    <n v="7"/>
    <d v="2022-07-01T00:00:00"/>
    <x v="4"/>
    <n v="1698.9899999999998"/>
    <n v="1202.5669090909096"/>
    <n v="1.4128028861898132"/>
    <n v="2252.73"/>
    <n v="-0.24580841911813675"/>
    <x v="1"/>
    <n v="0"/>
  </r>
  <r>
    <x v="110"/>
    <s v="Pain Relief Tablets"/>
    <x v="5"/>
    <n v="9"/>
    <n v="79.13"/>
    <s v="UK"/>
    <n v="2022"/>
    <x v="5"/>
    <n v="4"/>
    <d v="2022-04-01T00:00:00"/>
    <x v="5"/>
    <n v="1623.23"/>
    <n v="1402.9947272727277"/>
    <n v="1.156975125028008"/>
    <n v="1922.5800000000002"/>
    <n v="-0.15570223345712539"/>
    <x v="1"/>
    <n v="0"/>
  </r>
  <r>
    <x v="111"/>
    <s v="Eye Drops"/>
    <x v="3"/>
    <n v="3"/>
    <n v="56.2"/>
    <s v="Australia"/>
    <n v="2022"/>
    <x v="3"/>
    <n v="6"/>
    <d v="2022-06-01T00:00:00"/>
    <x v="3"/>
    <n v="1655.98"/>
    <n v="591.22648148148176"/>
    <n v="2.8009232533875736"/>
    <n v="1584.09"/>
    <n v="4.5382522457688708E-2"/>
    <x v="0"/>
    <n v="0"/>
  </r>
  <r>
    <x v="112"/>
    <s v="Nasal Spray"/>
    <x v="3"/>
    <n v="7"/>
    <n v="156.91999999999999"/>
    <s v="Canada"/>
    <n v="2022"/>
    <x v="3"/>
    <n v="6"/>
    <d v="2022-06-01T00:00:00"/>
    <x v="3"/>
    <n v="1655.98"/>
    <n v="591.22648148148176"/>
    <n v="2.8009232533875736"/>
    <n v="1584.09"/>
    <n v="4.5382522457688708E-2"/>
    <x v="0"/>
    <n v="0"/>
  </r>
  <r>
    <x v="94"/>
    <s v="Antiseptic Cream"/>
    <x v="2"/>
    <n v="13"/>
    <n v="187.47"/>
    <s v="India"/>
    <n v="2022"/>
    <x v="6"/>
    <n v="5"/>
    <d v="2022-05-01T00:00:00"/>
    <x v="6"/>
    <n v="1938.8200000000002"/>
    <n v="758.4789545454546"/>
    <n v="2.5561948533719128"/>
    <n v="972.89"/>
    <n v="0.99284605659427083"/>
    <x v="0"/>
    <n v="0"/>
  </r>
  <r>
    <x v="95"/>
    <s v="Eye Drops"/>
    <x v="0"/>
    <n v="14"/>
    <n v="234.19"/>
    <s v="USA"/>
    <n v="2022"/>
    <x v="6"/>
    <n v="5"/>
    <d v="2022-05-01T00:00:00"/>
    <x v="6"/>
    <n v="459.62"/>
    <n v="1508.5328124999996"/>
    <n v="0.30468014761859885"/>
    <n v="574.2399999999999"/>
    <n v="-0.1996029534689327"/>
    <x v="1"/>
    <n v="0"/>
  </r>
  <r>
    <x v="23"/>
    <s v="Antiseptic Cream"/>
    <x v="1"/>
    <n v="12"/>
    <n v="248.77"/>
    <s v="USA"/>
    <n v="2022"/>
    <x v="5"/>
    <n v="4"/>
    <d v="2022-04-01T00:00:00"/>
    <x v="5"/>
    <n v="2185.4700000000003"/>
    <n v="841.31976923076911"/>
    <n v="2.5976686628892689"/>
    <n v="274.01"/>
    <n v="6.9758767928177816"/>
    <x v="0"/>
    <n v="0"/>
  </r>
  <r>
    <x v="113"/>
    <s v="Digestive Enzyme"/>
    <x v="6"/>
    <n v="11"/>
    <n v="224.04"/>
    <s v="Canada"/>
    <n v="2022"/>
    <x v="2"/>
    <n v="1"/>
    <d v="2022-01-01T00:00:00"/>
    <x v="2"/>
    <n v="1214.3899999999999"/>
    <n v="821.22483333333321"/>
    <n v="1.4787546000902312"/>
    <n v="0"/>
    <n v="0"/>
    <x v="2"/>
    <n v="0"/>
  </r>
  <r>
    <x v="114"/>
    <s v="Digestive Enzyme"/>
    <x v="6"/>
    <n v="8"/>
    <n v="88.55"/>
    <s v="Canada"/>
    <n v="2022"/>
    <x v="6"/>
    <n v="5"/>
    <d v="2022-05-01T00:00:00"/>
    <x v="6"/>
    <n v="791.69999999999993"/>
    <n v="1094.9664444444443"/>
    <n v="0.72303585558887751"/>
    <n v="865.70999999999992"/>
    <n v="-8.5490522230308064E-2"/>
    <x v="1"/>
    <n v="0"/>
  </r>
  <r>
    <x v="115"/>
    <s v="Cough Syrup"/>
    <x v="5"/>
    <n v="20"/>
    <n v="302.63"/>
    <s v="UK"/>
    <n v="2022"/>
    <x v="1"/>
    <n v="3"/>
    <d v="2022-03-01T00:00:00"/>
    <x v="1"/>
    <n v="1922.5800000000002"/>
    <n v="841.79683636363654"/>
    <n v="2.2839002440364253"/>
    <n v="1770.3600000000001"/>
    <n v="8.5982512031451241E-2"/>
    <x v="0"/>
    <n v="0"/>
  </r>
  <r>
    <x v="116"/>
    <s v="Pain Relief Tablets"/>
    <x v="0"/>
    <n v="6"/>
    <n v="127.61"/>
    <s v="USA"/>
    <n v="2022"/>
    <x v="0"/>
    <n v="2"/>
    <d v="2022-02-01T00:00:00"/>
    <x v="0"/>
    <n v="837.85"/>
    <n v="862.01874999999984"/>
    <n v="0.97196261682243013"/>
    <n v="656.7700000000001"/>
    <n v="0.27571295887449165"/>
    <x v="0"/>
    <n v="0"/>
  </r>
  <r>
    <x v="117"/>
    <s v="Digestive Enzyme"/>
    <x v="6"/>
    <n v="7"/>
    <n v="85.93"/>
    <s v="Canada"/>
    <n v="2022"/>
    <x v="4"/>
    <n v="7"/>
    <d v="2022-07-01T00:00:00"/>
    <x v="4"/>
    <n v="874.87"/>
    <n v="938.54266666666649"/>
    <n v="0.9321579413189528"/>
    <n v="704.09"/>
    <n v="0.24255421892087653"/>
    <x v="0"/>
    <n v="0"/>
  </r>
  <r>
    <x v="118"/>
    <s v="Cough Syrup"/>
    <x v="4"/>
    <n v="9"/>
    <n v="112.85"/>
    <s v="USA"/>
    <n v="2022"/>
    <x v="5"/>
    <n v="4"/>
    <d v="2022-04-01T00:00:00"/>
    <x v="5"/>
    <n v="740.37"/>
    <n v="1556.7479999999998"/>
    <n v="0.47558757101342036"/>
    <n v="690.2"/>
    <n v="7.2689075630252037E-2"/>
    <x v="0"/>
    <n v="1"/>
  </r>
  <r>
    <x v="71"/>
    <s v="Allergy Pills"/>
    <x v="1"/>
    <n v="2"/>
    <n v="18.27"/>
    <s v="USA"/>
    <n v="2022"/>
    <x v="7"/>
    <n v="8"/>
    <d v="2022-08-01T00:00:00"/>
    <x v="7"/>
    <n v="1721.52"/>
    <n v="841.31976923076911"/>
    <n v="2.046213654974506"/>
    <n v="1166.76"/>
    <n v="0.47547053378586857"/>
    <x v="0"/>
    <n v="0"/>
  </r>
  <r>
    <x v="119"/>
    <s v="Eye Drops"/>
    <x v="6"/>
    <n v="6"/>
    <n v="55.27"/>
    <s v="Australia"/>
    <n v="2022"/>
    <x v="7"/>
    <n v="8"/>
    <d v="2022-08-01T00:00:00"/>
    <x v="7"/>
    <n v="896.81"/>
    <n v="1094.9664444444443"/>
    <n v="0.81902966483600015"/>
    <n v="874.87"/>
    <n v="2.5078011590293346E-2"/>
    <x v="0"/>
    <n v="0"/>
  </r>
  <r>
    <x v="12"/>
    <s v="Digestive Enzyme"/>
    <x v="5"/>
    <n v="11"/>
    <n v="186.86"/>
    <s v="India"/>
    <n v="2022"/>
    <x v="3"/>
    <n v="6"/>
    <d v="2022-06-01T00:00:00"/>
    <x v="3"/>
    <n v="2252.73"/>
    <n v="765.26985123966961"/>
    <n v="2.9437067151551526"/>
    <n v="185.17000000000002"/>
    <n v="11.165739590646432"/>
    <x v="0"/>
    <n v="0"/>
  </r>
  <r>
    <x v="61"/>
    <s v="Digestive Enzyme"/>
    <x v="4"/>
    <n v="17"/>
    <n v="350.78"/>
    <s v="UK"/>
    <n v="2022"/>
    <x v="6"/>
    <n v="5"/>
    <d v="2022-05-01T00:00:00"/>
    <x v="6"/>
    <n v="1280.45"/>
    <n v="1556.7479999999998"/>
    <n v="0.82251591137422386"/>
    <n v="740.37"/>
    <n v="0.72947310128719434"/>
    <x v="0"/>
    <n v="0"/>
  </r>
  <r>
    <x v="30"/>
    <s v="Allergy Pills"/>
    <x v="4"/>
    <n v="2"/>
    <n v="46.75"/>
    <s v="Australia"/>
    <n v="2022"/>
    <x v="3"/>
    <n v="6"/>
    <d v="2022-06-01T00:00:00"/>
    <x v="3"/>
    <n v="46.75"/>
    <n v="7783.74"/>
    <n v="6.0061101732586135E-3"/>
    <n v="1280.45"/>
    <n v="-0.96348939825842472"/>
    <x v="1"/>
    <n v="1"/>
  </r>
  <r>
    <x v="87"/>
    <s v="Digestive Enzyme"/>
    <x v="2"/>
    <n v="19"/>
    <n v="326.36"/>
    <s v="India"/>
    <n v="2022"/>
    <x v="6"/>
    <n v="5"/>
    <d v="2022-05-01T00:00:00"/>
    <x v="6"/>
    <n v="1938.8200000000002"/>
    <n v="758.4789545454546"/>
    <n v="2.5561948533719128"/>
    <n v="972.89"/>
    <n v="0.99284605659427083"/>
    <x v="0"/>
    <n v="0"/>
  </r>
  <r>
    <x v="61"/>
    <s v="Eye Drops"/>
    <x v="5"/>
    <n v="1"/>
    <n v="12.41"/>
    <s v="Australia"/>
    <n v="2022"/>
    <x v="6"/>
    <n v="5"/>
    <d v="2022-05-01T00:00:00"/>
    <x v="6"/>
    <n v="185.17000000000002"/>
    <n v="2805.9894545454554"/>
    <n v="6.5990982147149893E-2"/>
    <n v="1623.23"/>
    <n v="-0.88592497674389947"/>
    <x v="1"/>
    <n v="0"/>
  </r>
  <r>
    <x v="45"/>
    <s v="Eye Drops"/>
    <x v="1"/>
    <n v="15"/>
    <n v="223.3"/>
    <s v="UK"/>
    <n v="2022"/>
    <x v="6"/>
    <n v="5"/>
    <d v="2022-05-01T00:00:00"/>
    <x v="6"/>
    <n v="2645.1499999999996"/>
    <n v="764.83615384615382"/>
    <n v="3.4584531428048435"/>
    <n v="2185.4700000000003"/>
    <n v="0.21033461909795118"/>
    <x v="0"/>
    <n v="0"/>
  </r>
  <r>
    <x v="120"/>
    <s v="Nasal Spray"/>
    <x v="5"/>
    <n v="19"/>
    <n v="202.9"/>
    <s v="India"/>
    <n v="2022"/>
    <x v="0"/>
    <n v="2"/>
    <d v="2022-02-01T00:00:00"/>
    <x v="0"/>
    <n v="1770.3600000000001"/>
    <n v="1052.2460454545458"/>
    <n v="1.6824582117913742"/>
    <n v="241.89999999999998"/>
    <n v="6.3185613890037216"/>
    <x v="0"/>
    <n v="0"/>
  </r>
  <r>
    <x v="119"/>
    <s v="Pain Relief Tablets"/>
    <x v="0"/>
    <n v="3"/>
    <n v="56.22"/>
    <s v="USA"/>
    <n v="2022"/>
    <x v="7"/>
    <n v="8"/>
    <d v="2022-08-01T00:00:00"/>
    <x v="7"/>
    <n v="1020.76"/>
    <n v="1206.8262499999996"/>
    <n v="0.8458218405507838"/>
    <n v="537.31000000000006"/>
    <n v="0.89975991513279086"/>
    <x v="0"/>
    <n v="0"/>
  </r>
  <r>
    <x v="64"/>
    <s v="Digestive Enzyme"/>
    <x v="6"/>
    <n v="10"/>
    <n v="246.29"/>
    <s v="Australia"/>
    <n v="2022"/>
    <x v="7"/>
    <n v="8"/>
    <d v="2022-08-01T00:00:00"/>
    <x v="7"/>
    <n v="896.81"/>
    <n v="1094.9664444444443"/>
    <n v="0.81902966483600015"/>
    <n v="874.87"/>
    <n v="2.5078011590293346E-2"/>
    <x v="0"/>
    <n v="0"/>
  </r>
  <r>
    <x v="47"/>
    <s v="Cough Syrup"/>
    <x v="2"/>
    <n v="18"/>
    <n v="329.35"/>
    <s v="India"/>
    <n v="2022"/>
    <x v="5"/>
    <n v="4"/>
    <d v="2022-04-01T00:00:00"/>
    <x v="5"/>
    <n v="972.89"/>
    <n v="1516.9579090909092"/>
    <n v="0.64134277831283981"/>
    <n v="522.87"/>
    <n v="0.86067282498517794"/>
    <x v="0"/>
    <n v="0"/>
  </r>
  <r>
    <x v="62"/>
    <s v="Nasal Spray"/>
    <x v="4"/>
    <n v="14"/>
    <n v="349.22"/>
    <s v="USA"/>
    <n v="2022"/>
    <x v="5"/>
    <n v="4"/>
    <d v="2022-04-01T00:00:00"/>
    <x v="5"/>
    <n v="740.37"/>
    <n v="1556.7479999999998"/>
    <n v="0.47558757101342036"/>
    <n v="690.2"/>
    <n v="7.2689075630252037E-2"/>
    <x v="0"/>
    <n v="0"/>
  </r>
  <r>
    <x v="17"/>
    <s v="Pain Relief Tablets"/>
    <x v="5"/>
    <n v="15"/>
    <n v="268.43"/>
    <s v="Canada"/>
    <n v="2022"/>
    <x v="0"/>
    <n v="2"/>
    <d v="2022-02-01T00:00:00"/>
    <x v="0"/>
    <n v="1770.3600000000001"/>
    <n v="1052.2460454545458"/>
    <n v="1.6824582117913742"/>
    <n v="241.89999999999998"/>
    <n v="6.3185613890037216"/>
    <x v="0"/>
    <n v="0"/>
  </r>
  <r>
    <x v="121"/>
    <s v="Antiseptic Cream"/>
    <x v="4"/>
    <n v="14"/>
    <n v="319.69"/>
    <s v="USA"/>
    <n v="2022"/>
    <x v="0"/>
    <n v="2"/>
    <d v="2022-02-01T00:00:00"/>
    <x v="0"/>
    <n v="1484.3899999999999"/>
    <n v="1111.962857142857"/>
    <n v="1.3349276825793257"/>
    <n v="680.2299999999999"/>
    <n v="1.1821883774605648"/>
    <x v="0"/>
    <n v="0"/>
  </r>
  <r>
    <x v="111"/>
    <s v="Nasal Spray"/>
    <x v="6"/>
    <n v="11"/>
    <n v="166.88"/>
    <s v="Australia"/>
    <n v="2022"/>
    <x v="3"/>
    <n v="6"/>
    <d v="2022-06-01T00:00:00"/>
    <x v="3"/>
    <n v="704.09"/>
    <n v="1642.4496666666664"/>
    <n v="0.42868284751090302"/>
    <n v="791.69999999999993"/>
    <n v="-0.11066060376405193"/>
    <x v="1"/>
    <n v="1"/>
  </r>
  <r>
    <x v="107"/>
    <s v="Pain Relief Tablets"/>
    <x v="3"/>
    <n v="2"/>
    <n v="29.69"/>
    <s v="India"/>
    <n v="2022"/>
    <x v="6"/>
    <n v="5"/>
    <d v="2022-05-01T00:00:00"/>
    <x v="6"/>
    <n v="1584.09"/>
    <n v="709.47177777777802"/>
    <n v="2.2327738038597094"/>
    <n v="377.24"/>
    <n v="3.1991570353090868"/>
    <x v="0"/>
    <n v="0"/>
  </r>
  <r>
    <x v="122"/>
    <s v="Allergy Pills"/>
    <x v="1"/>
    <n v="13"/>
    <n v="193.09"/>
    <s v="Canada"/>
    <n v="2022"/>
    <x v="5"/>
    <n v="4"/>
    <d v="2022-04-01T00:00:00"/>
    <x v="5"/>
    <n v="2185.4700000000003"/>
    <n v="841.31976923076911"/>
    <n v="2.5976686628892689"/>
    <n v="274.01"/>
    <n v="6.9758767928177816"/>
    <x v="0"/>
    <n v="0"/>
  </r>
  <r>
    <x v="12"/>
    <s v="Allergy Pills"/>
    <x v="1"/>
    <n v="16"/>
    <n v="276.52999999999997"/>
    <s v="India"/>
    <n v="2022"/>
    <x v="3"/>
    <n v="6"/>
    <d v="2022-06-01T00:00:00"/>
    <x v="3"/>
    <n v="761.09999999999991"/>
    <n v="1402.1996153846153"/>
    <n v="0.54279005046741124"/>
    <n v="2645.1499999999996"/>
    <n v="-0.71226584503714341"/>
    <x v="1"/>
    <n v="0"/>
  </r>
  <r>
    <x v="98"/>
    <s v="Pain Relief Tablets"/>
    <x v="1"/>
    <n v="2"/>
    <n v="49.91"/>
    <s v="Australia"/>
    <n v="2022"/>
    <x v="7"/>
    <n v="8"/>
    <d v="2022-08-01T00:00:00"/>
    <x v="7"/>
    <n v="1721.52"/>
    <n v="841.31976923076911"/>
    <n v="2.046213654974506"/>
    <n v="1166.76"/>
    <n v="0.47547053378586857"/>
    <x v="0"/>
    <n v="0"/>
  </r>
  <r>
    <x v="29"/>
    <s v="Digestive Enzyme"/>
    <x v="6"/>
    <n v="16"/>
    <n v="131.88"/>
    <s v="Australia"/>
    <n v="2022"/>
    <x v="3"/>
    <n v="6"/>
    <d v="2022-06-01T00:00:00"/>
    <x v="3"/>
    <n v="704.09"/>
    <n v="1642.4496666666664"/>
    <n v="0.42868284751090302"/>
    <n v="791.69999999999993"/>
    <n v="-0.11066060376405193"/>
    <x v="1"/>
    <n v="0"/>
  </r>
  <r>
    <x v="96"/>
    <s v="Eye Drops"/>
    <x v="5"/>
    <n v="16"/>
    <n v="306.63"/>
    <s v="Canada"/>
    <n v="2022"/>
    <x v="0"/>
    <n v="2"/>
    <d v="2022-02-01T00:00:00"/>
    <x v="0"/>
    <n v="1770.3600000000001"/>
    <n v="1052.2460454545458"/>
    <n v="1.6824582117913742"/>
    <n v="241.89999999999998"/>
    <n v="6.3185613890037216"/>
    <x v="0"/>
    <n v="0"/>
  </r>
  <r>
    <x v="46"/>
    <s v="Allergy Pills"/>
    <x v="2"/>
    <n v="8"/>
    <n v="162.66999999999999"/>
    <s v="Canada"/>
    <n v="2022"/>
    <x v="4"/>
    <n v="7"/>
    <d v="2022-07-01T00:00:00"/>
    <x v="4"/>
    <n v="1653.05"/>
    <n v="842.75439393939394"/>
    <n v="1.9614848784981569"/>
    <n v="585.20999999999992"/>
    <n v="1.8247124963688253"/>
    <x v="0"/>
    <n v="0"/>
  </r>
  <r>
    <x v="105"/>
    <s v="Allergy Pills"/>
    <x v="3"/>
    <n v="20"/>
    <n v="216.6"/>
    <s v="India"/>
    <n v="2022"/>
    <x v="4"/>
    <n v="7"/>
    <d v="2022-07-01T00:00:00"/>
    <x v="4"/>
    <n v="1767.0500000000002"/>
    <n v="709.47177777777802"/>
    <n v="2.4906558024545955"/>
    <n v="1655.98"/>
    <n v="6.7072066087754775E-2"/>
    <x v="0"/>
    <n v="0"/>
  </r>
  <r>
    <x v="81"/>
    <s v="Antiseptic Cream"/>
    <x v="1"/>
    <n v="20"/>
    <n v="427.81"/>
    <s v="USA"/>
    <n v="2022"/>
    <x v="6"/>
    <n v="5"/>
    <d v="2022-05-01T00:00:00"/>
    <x v="6"/>
    <n v="2645.1499999999996"/>
    <n v="764.83615384615382"/>
    <n v="3.4584531428048435"/>
    <n v="2185.4700000000003"/>
    <n v="0.21033461909795118"/>
    <x v="0"/>
    <n v="0"/>
  </r>
  <r>
    <x v="22"/>
    <s v="Nasal Spray"/>
    <x v="3"/>
    <n v="5"/>
    <n v="79.489999999999995"/>
    <s v="Australia"/>
    <n v="2022"/>
    <x v="6"/>
    <n v="5"/>
    <d v="2022-05-01T00:00:00"/>
    <x v="6"/>
    <n v="1584.09"/>
    <n v="709.47177777777802"/>
    <n v="2.2327738038597094"/>
    <n v="377.24"/>
    <n v="3.1991570353090868"/>
    <x v="0"/>
    <n v="0"/>
  </r>
  <r>
    <x v="123"/>
    <s v="Nasal Spray"/>
    <x v="0"/>
    <n v="16"/>
    <n v="300.37"/>
    <s v="UK"/>
    <n v="2022"/>
    <x v="3"/>
    <n v="6"/>
    <d v="2022-06-01T00:00:00"/>
    <x v="3"/>
    <n v="1013.7"/>
    <n v="862.01874999999984"/>
    <n v="1.1759604996991078"/>
    <n v="459.62"/>
    <n v="1.2055176014968889"/>
    <x v="0"/>
    <n v="0"/>
  </r>
  <r>
    <x v="11"/>
    <s v="Eye Drops"/>
    <x v="0"/>
    <n v="3"/>
    <n v="73.09"/>
    <s v="Canada"/>
    <n v="2022"/>
    <x v="0"/>
    <n v="2"/>
    <d v="2022-02-01T00:00:00"/>
    <x v="0"/>
    <n v="837.85"/>
    <n v="862.01874999999984"/>
    <n v="0.97196261682243013"/>
    <n v="656.7700000000001"/>
    <n v="0.27571295887449165"/>
    <x v="0"/>
    <n v="0"/>
  </r>
  <r>
    <x v="122"/>
    <s v="Pain Relief Tablets"/>
    <x v="3"/>
    <n v="11"/>
    <n v="125.38"/>
    <s v="USA"/>
    <n v="2022"/>
    <x v="5"/>
    <n v="4"/>
    <d v="2022-04-01T00:00:00"/>
    <x v="5"/>
    <n v="377.24"/>
    <n v="2364.905925925927"/>
    <n v="0.15951585890347836"/>
    <n v="1095.8999999999999"/>
    <n v="-0.65577151199926997"/>
    <x v="1"/>
    <n v="0"/>
  </r>
  <r>
    <x v="94"/>
    <s v="Antiseptic Cream"/>
    <x v="1"/>
    <n v="15"/>
    <n v="155.47999999999999"/>
    <s v="USA"/>
    <n v="2022"/>
    <x v="6"/>
    <n v="5"/>
    <d v="2022-05-01T00:00:00"/>
    <x v="6"/>
    <n v="2645.1499999999996"/>
    <n v="764.83615384615382"/>
    <n v="3.4584531428048435"/>
    <n v="2185.4700000000003"/>
    <n v="0.21033461909795118"/>
    <x v="0"/>
    <n v="0"/>
  </r>
  <r>
    <x v="124"/>
    <s v="Cough Syrup"/>
    <x v="2"/>
    <n v="16"/>
    <n v="340.68"/>
    <s v="UK"/>
    <n v="2022"/>
    <x v="4"/>
    <n v="7"/>
    <d v="2022-07-01T00:00:00"/>
    <x v="4"/>
    <n v="1653.05"/>
    <n v="842.75439393939394"/>
    <n v="1.9614848784981569"/>
    <n v="585.20999999999992"/>
    <n v="1.8247124963688253"/>
    <x v="0"/>
    <n v="0"/>
  </r>
  <r>
    <x v="125"/>
    <s v="Pain Relief Tablets"/>
    <x v="0"/>
    <n v="5"/>
    <n v="49.44"/>
    <s v="Australia"/>
    <n v="2022"/>
    <x v="4"/>
    <n v="7"/>
    <d v="2022-07-01T00:00:00"/>
    <x v="4"/>
    <n v="537.31000000000006"/>
    <n v="862.01874999999984"/>
    <n v="0.62331590815165006"/>
    <n v="1013.7"/>
    <n v="-0.46995166222748347"/>
    <x v="1"/>
    <n v="0"/>
  </r>
  <r>
    <x v="126"/>
    <s v="Antiseptic Cream"/>
    <x v="5"/>
    <n v="14"/>
    <n v="344.7"/>
    <s v="USA"/>
    <n v="2022"/>
    <x v="4"/>
    <n v="7"/>
    <d v="2022-07-01T00:00:00"/>
    <x v="4"/>
    <n v="1698.9899999999998"/>
    <n v="1202.5669090909096"/>
    <n v="1.4128028861898132"/>
    <n v="2252.73"/>
    <n v="-0.24580841911813675"/>
    <x v="1"/>
    <n v="0"/>
  </r>
  <r>
    <x v="21"/>
    <s v="Eye Drops"/>
    <x v="0"/>
    <n v="5"/>
    <n v="95.03"/>
    <s v="Australia"/>
    <n v="2022"/>
    <x v="4"/>
    <n v="7"/>
    <d v="2022-07-01T00:00:00"/>
    <x v="4"/>
    <n v="537.31000000000006"/>
    <n v="862.01874999999984"/>
    <n v="0.62331590815165006"/>
    <n v="1013.7"/>
    <n v="-0.46995166222748347"/>
    <x v="1"/>
    <n v="0"/>
  </r>
  <r>
    <x v="55"/>
    <s v="Eye Drops"/>
    <x v="4"/>
    <n v="3"/>
    <n v="52.4"/>
    <s v="USA"/>
    <n v="2022"/>
    <x v="5"/>
    <n v="4"/>
    <d v="2022-04-01T00:00:00"/>
    <x v="5"/>
    <n v="740.37"/>
    <n v="1556.7479999999998"/>
    <n v="0.47558757101342036"/>
    <n v="690.2"/>
    <n v="7.2689075630252037E-2"/>
    <x v="0"/>
    <n v="0"/>
  </r>
  <r>
    <x v="23"/>
    <s v="Nasal Spray"/>
    <x v="1"/>
    <n v="5"/>
    <n v="106.94"/>
    <s v="USA"/>
    <n v="2022"/>
    <x v="5"/>
    <n v="4"/>
    <d v="2022-04-01T00:00:00"/>
    <x v="5"/>
    <n v="2185.4700000000003"/>
    <n v="841.31976923076911"/>
    <n v="2.5976686628892689"/>
    <n v="274.01"/>
    <n v="6.9758767928177816"/>
    <x v="0"/>
    <n v="0"/>
  </r>
  <r>
    <x v="127"/>
    <s v="Antiseptic Cream"/>
    <x v="3"/>
    <n v="5"/>
    <n v="94.04"/>
    <s v="USA"/>
    <n v="2022"/>
    <x v="1"/>
    <n v="3"/>
    <d v="2022-03-01T00:00:00"/>
    <x v="1"/>
    <n v="1095.8999999999999"/>
    <n v="1418.943555555556"/>
    <n v="0.77233516140176861"/>
    <n v="519.11"/>
    <n v="1.1111132515266511"/>
    <x v="0"/>
    <n v="0"/>
  </r>
  <r>
    <x v="128"/>
    <s v="Eye Drops"/>
    <x v="4"/>
    <n v="3"/>
    <n v="54.15"/>
    <s v="Canada"/>
    <n v="2022"/>
    <x v="2"/>
    <n v="1"/>
    <d v="2022-01-01T00:00:00"/>
    <x v="2"/>
    <n v="680.2299999999999"/>
    <n v="1556.7479999999998"/>
    <n v="0.43695575648724133"/>
    <n v="0"/>
    <n v="0"/>
    <x v="2"/>
    <n v="0"/>
  </r>
  <r>
    <x v="58"/>
    <s v="Allergy Pills"/>
    <x v="2"/>
    <n v="14"/>
    <n v="115.82"/>
    <s v="UK"/>
    <n v="2022"/>
    <x v="5"/>
    <n v="4"/>
    <d v="2022-04-01T00:00:00"/>
    <x v="5"/>
    <n v="972.89"/>
    <n v="1516.9579090909092"/>
    <n v="0.64134277831283981"/>
    <n v="522.87"/>
    <n v="0.86067282498517794"/>
    <x v="0"/>
    <n v="0"/>
  </r>
  <r>
    <x v="13"/>
    <s v="Allergy Pills"/>
    <x v="5"/>
    <n v="9"/>
    <n v="204"/>
    <s v="UK"/>
    <n v="2022"/>
    <x v="3"/>
    <n v="6"/>
    <d v="2022-06-01T00:00:00"/>
    <x v="3"/>
    <n v="2252.73"/>
    <n v="765.26985123966961"/>
    <n v="2.9437067151551526"/>
    <n v="185.17000000000002"/>
    <n v="11.165739590646432"/>
    <x v="0"/>
    <n v="0"/>
  </r>
  <r>
    <x v="129"/>
    <s v="Allergy Pills"/>
    <x v="5"/>
    <n v="1"/>
    <n v="19.920000000000002"/>
    <s v="UK"/>
    <n v="2022"/>
    <x v="4"/>
    <n v="7"/>
    <d v="2022-07-01T00:00:00"/>
    <x v="4"/>
    <n v="1698.9899999999998"/>
    <n v="1202.5669090909096"/>
    <n v="1.4128028861898132"/>
    <n v="2252.73"/>
    <n v="-0.24580841911813675"/>
    <x v="1"/>
    <n v="0"/>
  </r>
  <r>
    <x v="130"/>
    <s v="Digestive Enzyme"/>
    <x v="2"/>
    <n v="12"/>
    <n v="151.09"/>
    <s v="Canada"/>
    <n v="2022"/>
    <x v="6"/>
    <n v="5"/>
    <d v="2022-05-01T00:00:00"/>
    <x v="6"/>
    <n v="1938.8200000000002"/>
    <n v="758.4789545454546"/>
    <n v="2.5561948533719128"/>
    <n v="972.89"/>
    <n v="0.99284605659427083"/>
    <x v="0"/>
    <n v="0"/>
  </r>
  <r>
    <x v="131"/>
    <s v="Cough Syrup"/>
    <x v="3"/>
    <n v="3"/>
    <n v="59.89"/>
    <s v="India"/>
    <n v="2022"/>
    <x v="4"/>
    <n v="7"/>
    <d v="2022-07-01T00:00:00"/>
    <x v="4"/>
    <n v="1767.0500000000002"/>
    <n v="709.47177777777802"/>
    <n v="2.4906558024545955"/>
    <n v="1655.98"/>
    <n v="6.7072066087754775E-2"/>
    <x v="0"/>
    <n v="0"/>
  </r>
  <r>
    <x v="86"/>
    <s v="Eye Drops"/>
    <x v="2"/>
    <n v="15"/>
    <n v="363.94"/>
    <s v="Canada"/>
    <n v="2022"/>
    <x v="6"/>
    <n v="5"/>
    <d v="2022-05-01T00:00:00"/>
    <x v="6"/>
    <n v="1938.8200000000002"/>
    <n v="758.4789545454546"/>
    <n v="2.5561948533719128"/>
    <n v="972.89"/>
    <n v="0.99284605659427083"/>
    <x v="0"/>
    <n v="0"/>
  </r>
  <r>
    <x v="94"/>
    <s v="Digestive Enzyme"/>
    <x v="4"/>
    <n v="7"/>
    <n v="91.95"/>
    <s v="UK"/>
    <n v="2022"/>
    <x v="6"/>
    <n v="5"/>
    <d v="2022-05-01T00:00:00"/>
    <x v="6"/>
    <n v="1280.45"/>
    <n v="1556.7479999999998"/>
    <n v="0.82251591137422386"/>
    <n v="740.37"/>
    <n v="0.72947310128719434"/>
    <x v="0"/>
    <n v="0"/>
  </r>
  <r>
    <x v="123"/>
    <s v="Allergy Pills"/>
    <x v="3"/>
    <n v="15"/>
    <n v="150.34"/>
    <s v="UK"/>
    <n v="2022"/>
    <x v="3"/>
    <n v="6"/>
    <d v="2022-06-01T00:00:00"/>
    <x v="3"/>
    <n v="1655.98"/>
    <n v="591.22648148148176"/>
    <n v="2.8009232533875736"/>
    <n v="1584.09"/>
    <n v="4.5382522457688708E-2"/>
    <x v="0"/>
    <n v="0"/>
  </r>
  <r>
    <x v="132"/>
    <s v="Allergy Pills"/>
    <x v="2"/>
    <n v="17"/>
    <n v="180.65"/>
    <s v="Australia"/>
    <n v="2022"/>
    <x v="6"/>
    <n v="5"/>
    <d v="2022-05-01T00:00:00"/>
    <x v="6"/>
    <n v="1938.8200000000002"/>
    <n v="758.4789545454546"/>
    <n v="2.5561948533719128"/>
    <n v="972.89"/>
    <n v="0.99284605659427083"/>
    <x v="0"/>
    <n v="0"/>
  </r>
  <r>
    <x v="1"/>
    <s v="Digestive Enzyme"/>
    <x v="5"/>
    <n v="8"/>
    <n v="110.6"/>
    <s v="India"/>
    <n v="2022"/>
    <x v="0"/>
    <n v="2"/>
    <d v="2022-02-01T00:00:00"/>
    <x v="0"/>
    <n v="1770.3600000000001"/>
    <n v="1052.2460454545458"/>
    <n v="1.6824582117913742"/>
    <n v="241.89999999999998"/>
    <n v="6.3185613890037216"/>
    <x v="0"/>
    <n v="0"/>
  </r>
  <r>
    <x v="110"/>
    <s v="Pain Relief Tablets"/>
    <x v="1"/>
    <n v="20"/>
    <n v="330.3"/>
    <s v="Australia"/>
    <n v="2022"/>
    <x v="5"/>
    <n v="4"/>
    <d v="2022-04-01T00:00:00"/>
    <x v="5"/>
    <n v="2185.4700000000003"/>
    <n v="841.31976923076911"/>
    <n v="2.5976686628892689"/>
    <n v="274.01"/>
    <n v="6.9758767928177816"/>
    <x v="0"/>
    <n v="0"/>
  </r>
  <r>
    <x v="24"/>
    <s v="Cough Syrup"/>
    <x v="6"/>
    <n v="8"/>
    <n v="93.83"/>
    <s v="USA"/>
    <n v="2022"/>
    <x v="4"/>
    <n v="7"/>
    <d v="2022-07-01T00:00:00"/>
    <x v="4"/>
    <n v="874.87"/>
    <n v="938.54266666666649"/>
    <n v="0.9321579413189528"/>
    <n v="704.09"/>
    <n v="0.24255421892087653"/>
    <x v="0"/>
    <n v="0"/>
  </r>
  <r>
    <x v="133"/>
    <s v="Antiseptic Cream"/>
    <x v="0"/>
    <n v="19"/>
    <n v="210.77"/>
    <s v="UK"/>
    <n v="2022"/>
    <x v="2"/>
    <n v="1"/>
    <d v="2022-01-01T00:00:00"/>
    <x v="2"/>
    <n v="656.7700000000001"/>
    <n v="1005.6885416666664"/>
    <n v="0.65305506902919974"/>
    <n v="0"/>
    <n v="0"/>
    <x v="2"/>
    <n v="0"/>
  </r>
  <r>
    <x v="134"/>
    <s v="Pain Relief Tablets"/>
    <x v="2"/>
    <n v="14"/>
    <n v="307.75"/>
    <s v="USA"/>
    <n v="2022"/>
    <x v="3"/>
    <n v="6"/>
    <d v="2022-06-01T00:00:00"/>
    <x v="3"/>
    <n v="585.20999999999992"/>
    <n v="1896.1973863636363"/>
    <n v="0.30862293356614373"/>
    <n v="1938.8200000000002"/>
    <n v="-0.69816176849836498"/>
    <x v="1"/>
    <n v="0"/>
  </r>
  <r>
    <x v="135"/>
    <s v="Digestive Enzyme"/>
    <x v="5"/>
    <n v="18"/>
    <n v="149.85"/>
    <s v="Australia"/>
    <n v="2022"/>
    <x v="3"/>
    <n v="6"/>
    <d v="2022-06-01T00:00:00"/>
    <x v="3"/>
    <n v="2252.73"/>
    <n v="765.26985123966961"/>
    <n v="2.9437067151551526"/>
    <n v="185.17000000000002"/>
    <n v="11.165739590646432"/>
    <x v="0"/>
    <n v="0"/>
  </r>
  <r>
    <x v="85"/>
    <s v="Allergy Pills"/>
    <x v="6"/>
    <n v="20"/>
    <n v="176.04"/>
    <s v="UK"/>
    <n v="2022"/>
    <x v="4"/>
    <n v="7"/>
    <d v="2022-07-01T00:00:00"/>
    <x v="4"/>
    <n v="874.87"/>
    <n v="938.54266666666649"/>
    <n v="0.9321579413189528"/>
    <n v="704.09"/>
    <n v="0.24255421892087653"/>
    <x v="0"/>
    <n v="0"/>
  </r>
  <r>
    <x v="136"/>
    <s v="Eye Drops"/>
    <x v="0"/>
    <n v="8"/>
    <n v="102.72"/>
    <s v="USA"/>
    <n v="2022"/>
    <x v="4"/>
    <n v="7"/>
    <d v="2022-07-01T00:00:00"/>
    <x v="4"/>
    <n v="537.31000000000006"/>
    <n v="862.01874999999984"/>
    <n v="0.62331590815165006"/>
    <n v="1013.7"/>
    <n v="-0.46995166222748347"/>
    <x v="1"/>
    <n v="0"/>
  </r>
  <r>
    <x v="39"/>
    <s v="Cough Syrup"/>
    <x v="3"/>
    <n v="18"/>
    <n v="224.44"/>
    <s v="Australia"/>
    <n v="2022"/>
    <x v="7"/>
    <n v="8"/>
    <d v="2022-08-01T00:00:00"/>
    <x v="7"/>
    <n v="753.67000000000007"/>
    <n v="1418.943555555556"/>
    <n v="0.53114868244700353"/>
    <n v="1767.0500000000002"/>
    <n v="-0.57348688492119637"/>
    <x v="1"/>
    <n v="0"/>
  </r>
  <r>
    <x v="137"/>
    <s v="Nasal Spray"/>
    <x v="4"/>
    <n v="1"/>
    <n v="23.68"/>
    <s v="Australia"/>
    <n v="2022"/>
    <x v="0"/>
    <n v="2"/>
    <d v="2022-02-01T00:00:00"/>
    <x v="0"/>
    <n v="1484.3899999999999"/>
    <n v="1111.962857142857"/>
    <n v="1.3349276825793257"/>
    <n v="680.2299999999999"/>
    <n v="1.1821883774605648"/>
    <x v="0"/>
    <n v="0"/>
  </r>
  <r>
    <x v="138"/>
    <s v="Allergy Pills"/>
    <x v="0"/>
    <n v="2"/>
    <n v="47.79"/>
    <s v="Australia"/>
    <n v="2022"/>
    <x v="6"/>
    <n v="5"/>
    <d v="2022-05-01T00:00:00"/>
    <x v="6"/>
    <n v="459.62"/>
    <n v="1508.5328124999996"/>
    <n v="0.30468014761859885"/>
    <n v="574.2399999999999"/>
    <n v="-0.1996029534689327"/>
    <x v="1"/>
    <n v="0"/>
  </r>
  <r>
    <x v="139"/>
    <s v="Antiseptic Cream"/>
    <x v="3"/>
    <n v="10"/>
    <n v="154.6"/>
    <s v="India"/>
    <n v="2022"/>
    <x v="7"/>
    <n v="8"/>
    <d v="2022-08-01T00:00:00"/>
    <x v="7"/>
    <n v="753.67000000000007"/>
    <n v="1418.943555555556"/>
    <n v="0.53114868244700353"/>
    <n v="1767.0500000000002"/>
    <n v="-0.57348688492119637"/>
    <x v="1"/>
    <n v="0"/>
  </r>
  <r>
    <x v="132"/>
    <s v="Allergy Pills"/>
    <x v="1"/>
    <n v="8"/>
    <n v="158.49"/>
    <s v="India"/>
    <n v="2022"/>
    <x v="6"/>
    <n v="5"/>
    <d v="2022-05-01T00:00:00"/>
    <x v="6"/>
    <n v="2645.1499999999996"/>
    <n v="764.83615384615382"/>
    <n v="3.4584531428048435"/>
    <n v="2185.4700000000003"/>
    <n v="0.21033461909795118"/>
    <x v="0"/>
    <n v="0"/>
  </r>
  <r>
    <x v="71"/>
    <s v="Nasal Spray"/>
    <x v="4"/>
    <n v="7"/>
    <n v="68.989999999999995"/>
    <s v="India"/>
    <n v="2022"/>
    <x v="7"/>
    <n v="8"/>
    <d v="2022-08-01T00:00:00"/>
    <x v="7"/>
    <n v="507.65"/>
    <n v="1945.9349999999999"/>
    <n v="0.26087716187847998"/>
    <n v="1056.4100000000001"/>
    <n v="-0.51945740763529313"/>
    <x v="1"/>
    <n v="0"/>
  </r>
  <r>
    <x v="72"/>
    <s v="Nasal Spray"/>
    <x v="1"/>
    <n v="9"/>
    <n v="186.56"/>
    <s v="India"/>
    <n v="2022"/>
    <x v="6"/>
    <n v="5"/>
    <d v="2022-05-01T00:00:00"/>
    <x v="6"/>
    <n v="2645.1499999999996"/>
    <n v="764.83615384615382"/>
    <n v="3.4584531428048435"/>
    <n v="2185.4700000000003"/>
    <n v="0.21033461909795118"/>
    <x v="0"/>
    <n v="0"/>
  </r>
  <r>
    <x v="70"/>
    <s v="Cough Syrup"/>
    <x v="6"/>
    <n v="2"/>
    <n v="36.61"/>
    <s v="Canada"/>
    <n v="2022"/>
    <x v="3"/>
    <n v="6"/>
    <d v="2022-06-01T00:00:00"/>
    <x v="3"/>
    <n v="704.09"/>
    <n v="1642.4496666666664"/>
    <n v="0.42868284751090302"/>
    <n v="791.69999999999993"/>
    <n v="-0.11066060376405193"/>
    <x v="1"/>
    <n v="0"/>
  </r>
  <r>
    <x v="140"/>
    <s v="Cough Syrup"/>
    <x v="3"/>
    <n v="16"/>
    <n v="392.8"/>
    <s v="Australia"/>
    <n v="2022"/>
    <x v="2"/>
    <n v="1"/>
    <d v="2022-01-01T00:00:00"/>
    <x v="2"/>
    <n v="1368.74"/>
    <n v="1418.943555555556"/>
    <n v="0.9646190608787818"/>
    <n v="0"/>
    <n v="0"/>
    <x v="2"/>
    <n v="0"/>
  </r>
  <r>
    <x v="30"/>
    <s v="Allergy Pills"/>
    <x v="2"/>
    <n v="5"/>
    <n v="82.32"/>
    <s v="India"/>
    <n v="2022"/>
    <x v="3"/>
    <n v="6"/>
    <d v="2022-06-01T00:00:00"/>
    <x v="3"/>
    <n v="585.20999999999992"/>
    <n v="1896.1973863636363"/>
    <n v="0.30862293356614373"/>
    <n v="1938.8200000000002"/>
    <n v="-0.69816176849836498"/>
    <x v="1"/>
    <n v="0"/>
  </r>
  <r>
    <x v="141"/>
    <s v="Nasal Spray"/>
    <x v="1"/>
    <n v="6"/>
    <n v="128.69"/>
    <s v="UK"/>
    <n v="2022"/>
    <x v="5"/>
    <n v="4"/>
    <d v="2022-04-01T00:00:00"/>
    <x v="5"/>
    <n v="2185.4700000000003"/>
    <n v="841.31976923076911"/>
    <n v="2.5976686628892689"/>
    <n v="274.01"/>
    <n v="6.9758767928177816"/>
    <x v="0"/>
    <n v="0"/>
  </r>
  <r>
    <x v="142"/>
    <s v="Pain Relief Tablets"/>
    <x v="1"/>
    <n v="13"/>
    <n v="323.95999999999998"/>
    <s v="USA"/>
    <n v="2022"/>
    <x v="7"/>
    <n v="8"/>
    <d v="2022-08-01T00:00:00"/>
    <x v="7"/>
    <n v="1721.52"/>
    <n v="841.31976923076911"/>
    <n v="2.046213654974506"/>
    <n v="1166.76"/>
    <n v="0.47547053378586857"/>
    <x v="0"/>
    <n v="0"/>
  </r>
  <r>
    <x v="73"/>
    <s v="Allergy Pills"/>
    <x v="5"/>
    <n v="9"/>
    <n v="180.57"/>
    <s v="Australia"/>
    <n v="2022"/>
    <x v="1"/>
    <n v="3"/>
    <d v="2022-03-01T00:00:00"/>
    <x v="1"/>
    <n v="1922.5800000000002"/>
    <n v="841.79683636363654"/>
    <n v="2.2839002440364253"/>
    <n v="1770.3600000000001"/>
    <n v="8.5982512031451241E-2"/>
    <x v="0"/>
    <n v="0"/>
  </r>
  <r>
    <x v="90"/>
    <s v="Antiseptic Cream"/>
    <x v="5"/>
    <n v="18"/>
    <n v="229.15"/>
    <s v="UK"/>
    <n v="2022"/>
    <x v="7"/>
    <n v="8"/>
    <d v="2022-08-01T00:00:00"/>
    <x v="7"/>
    <n v="1328.57"/>
    <n v="1052.2460454545458"/>
    <n v="1.2626039373006992"/>
    <n v="1698.9899999999998"/>
    <n v="-0.21802364934461055"/>
    <x v="1"/>
    <n v="1"/>
  </r>
  <r>
    <x v="143"/>
    <s v="Pain Relief Tablets"/>
    <x v="5"/>
    <n v="7"/>
    <n v="163.5"/>
    <s v="USA"/>
    <n v="2022"/>
    <x v="7"/>
    <n v="8"/>
    <d v="2022-08-01T00:00:00"/>
    <x v="7"/>
    <n v="1328.57"/>
    <n v="1052.2460454545458"/>
    <n v="1.2626039373006992"/>
    <n v="1698.9899999999998"/>
    <n v="-0.21802364934461055"/>
    <x v="1"/>
    <n v="0"/>
  </r>
  <r>
    <x v="44"/>
    <s v="Antiseptic Cream"/>
    <x v="4"/>
    <n v="6"/>
    <n v="124.34"/>
    <s v="India"/>
    <n v="2022"/>
    <x v="1"/>
    <n v="3"/>
    <d v="2022-03-01T00:00:00"/>
    <x v="1"/>
    <n v="690.2"/>
    <n v="1945.9349999999999"/>
    <n v="0.35468810623170871"/>
    <n v="1484.3899999999999"/>
    <n v="-0.53502785656060736"/>
    <x v="1"/>
    <n v="0"/>
  </r>
  <r>
    <x v="121"/>
    <s v="Allergy Pills"/>
    <x v="5"/>
    <n v="5"/>
    <n v="64.33"/>
    <s v="UK"/>
    <n v="2022"/>
    <x v="0"/>
    <n v="2"/>
    <d v="2022-02-01T00:00:00"/>
    <x v="0"/>
    <n v="1770.3600000000001"/>
    <n v="1052.2460454545458"/>
    <n v="1.6824582117913742"/>
    <n v="241.89999999999998"/>
    <n v="6.3185613890037216"/>
    <x v="0"/>
    <n v="0"/>
  </r>
  <r>
    <x v="138"/>
    <s v="Antiseptic Cream"/>
    <x v="0"/>
    <n v="8"/>
    <n v="94.84"/>
    <s v="India"/>
    <n v="2022"/>
    <x v="6"/>
    <n v="5"/>
    <d v="2022-05-01T00:00:00"/>
    <x v="6"/>
    <n v="459.62"/>
    <n v="1508.5328124999996"/>
    <n v="0.30468014761859885"/>
    <n v="574.2399999999999"/>
    <n v="-0.1996029534689327"/>
    <x v="1"/>
    <n v="0"/>
  </r>
  <r>
    <x v="113"/>
    <s v="Digestive Enzyme"/>
    <x v="3"/>
    <n v="18"/>
    <n v="432"/>
    <s v="Canada"/>
    <n v="2022"/>
    <x v="2"/>
    <n v="1"/>
    <d v="2022-01-01T00:00:00"/>
    <x v="2"/>
    <n v="1368.74"/>
    <n v="1418.943555555556"/>
    <n v="0.9646190608787818"/>
    <n v="0"/>
    <n v="0"/>
    <x v="2"/>
    <n v="0"/>
  </r>
  <r>
    <x v="14"/>
    <s v="Eye Drops"/>
    <x v="6"/>
    <n v="19"/>
    <n v="368.72"/>
    <s v="USA"/>
    <n v="2022"/>
    <x v="3"/>
    <n v="6"/>
    <d v="2022-06-01T00:00:00"/>
    <x v="3"/>
    <n v="704.09"/>
    <n v="1642.4496666666664"/>
    <n v="0.42868284751090302"/>
    <n v="791.69999999999993"/>
    <n v="-0.11066060376405193"/>
    <x v="1"/>
    <n v="0"/>
  </r>
  <r>
    <x v="85"/>
    <s v="Allergy Pills"/>
    <x v="1"/>
    <n v="20"/>
    <n v="486.94"/>
    <s v="India"/>
    <n v="2022"/>
    <x v="4"/>
    <n v="7"/>
    <d v="2022-07-01T00:00:00"/>
    <x v="4"/>
    <n v="1166.76"/>
    <n v="1682.6395384615382"/>
    <n v="0.69341054535470237"/>
    <n v="761.09999999999991"/>
    <n v="0.53299172250689808"/>
    <x v="0"/>
    <n v="0"/>
  </r>
  <r>
    <x v="50"/>
    <s v="Antiseptic Cream"/>
    <x v="0"/>
    <n v="13"/>
    <n v="320.79000000000002"/>
    <s v="India"/>
    <n v="2022"/>
    <x v="7"/>
    <n v="8"/>
    <d v="2022-08-01T00:00:00"/>
    <x v="7"/>
    <n v="1020.76"/>
    <n v="1206.8262499999996"/>
    <n v="0.8458218405507838"/>
    <n v="537.31000000000006"/>
    <n v="0.89975991513279086"/>
    <x v="0"/>
    <n v="0"/>
  </r>
  <r>
    <x v="144"/>
    <s v="Digestive Enzyme"/>
    <x v="5"/>
    <n v="18"/>
    <n v="431.39"/>
    <s v="India"/>
    <n v="2022"/>
    <x v="4"/>
    <n v="7"/>
    <d v="2022-07-01T00:00:00"/>
    <x v="4"/>
    <n v="1698.9899999999998"/>
    <n v="1202.5669090909096"/>
    <n v="1.4128028861898132"/>
    <n v="2252.73"/>
    <n v="-0.24580841911813675"/>
    <x v="1"/>
    <n v="0"/>
  </r>
  <r>
    <x v="69"/>
    <s v="Nasal Spray"/>
    <x v="4"/>
    <n v="4"/>
    <n v="67.5"/>
    <s v="UK"/>
    <n v="2022"/>
    <x v="0"/>
    <n v="2"/>
    <d v="2022-02-01T00:00:00"/>
    <x v="0"/>
    <n v="1484.3899999999999"/>
    <n v="1111.962857142857"/>
    <n v="1.3349276825793257"/>
    <n v="680.2299999999999"/>
    <n v="1.1821883774605648"/>
    <x v="0"/>
    <n v="0"/>
  </r>
  <r>
    <x v="131"/>
    <s v="Eye Drops"/>
    <x v="3"/>
    <n v="15"/>
    <n v="220.62"/>
    <s v="India"/>
    <n v="2022"/>
    <x v="4"/>
    <n v="7"/>
    <d v="2022-07-01T00:00:00"/>
    <x v="4"/>
    <n v="1767.0500000000002"/>
    <n v="709.47177777777802"/>
    <n v="2.4906558024545955"/>
    <n v="1655.98"/>
    <n v="6.7072066087754775E-2"/>
    <x v="0"/>
    <n v="0"/>
  </r>
  <r>
    <x v="145"/>
    <s v="Eye Drops"/>
    <x v="5"/>
    <n v="5"/>
    <n v="97.52"/>
    <s v="India"/>
    <n v="2022"/>
    <x v="7"/>
    <n v="8"/>
    <d v="2022-08-01T00:00:00"/>
    <x v="7"/>
    <n v="1328.57"/>
    <n v="1052.2460454545458"/>
    <n v="1.2626039373006992"/>
    <n v="1698.9899999999998"/>
    <n v="-0.21802364934461055"/>
    <x v="1"/>
    <n v="0"/>
  </r>
  <r>
    <x v="146"/>
    <s v="Antiseptic Cream"/>
    <x v="1"/>
    <n v="6"/>
    <n v="112.49"/>
    <s v="USA"/>
    <n v="2022"/>
    <x v="7"/>
    <n v="8"/>
    <d v="2022-08-01T00:00:00"/>
    <x v="7"/>
    <n v="1721.52"/>
    <n v="841.31976923076911"/>
    <n v="2.046213654974506"/>
    <n v="1166.76"/>
    <n v="0.47547053378586857"/>
    <x v="0"/>
    <n v="0"/>
  </r>
  <r>
    <x v="89"/>
    <s v="Antiseptic Cream"/>
    <x v="6"/>
    <n v="2"/>
    <n v="45.57"/>
    <s v="Canada"/>
    <n v="2022"/>
    <x v="1"/>
    <n v="3"/>
    <d v="2022-03-01T00:00:00"/>
    <x v="1"/>
    <n v="760.68999999999994"/>
    <n v="1313.9597333333331"/>
    <n v="0.57892946085207286"/>
    <n v="930.81000000000006"/>
    <n v="-0.18276554828590164"/>
    <x v="1"/>
    <n v="0"/>
  </r>
  <r>
    <x v="117"/>
    <s v="Nasal Spray"/>
    <x v="1"/>
    <n v="9"/>
    <n v="100.77"/>
    <s v="UK"/>
    <n v="2022"/>
    <x v="4"/>
    <n v="7"/>
    <d v="2022-07-01T00:00:00"/>
    <x v="4"/>
    <n v="1166.76"/>
    <n v="1682.6395384615382"/>
    <n v="0.69341054535470237"/>
    <n v="761.09999999999991"/>
    <n v="0.53299172250689808"/>
    <x v="0"/>
    <n v="0"/>
  </r>
  <r>
    <x v="147"/>
    <s v="Digestive Enzyme"/>
    <x v="1"/>
    <n v="12"/>
    <n v="295.77999999999997"/>
    <s v="Australia"/>
    <n v="2022"/>
    <x v="5"/>
    <n v="4"/>
    <d v="2022-04-01T00:00:00"/>
    <x v="5"/>
    <n v="2185.4700000000003"/>
    <n v="841.31976923076911"/>
    <n v="2.5976686628892689"/>
    <n v="274.01"/>
    <n v="6.9758767928177816"/>
    <x v="0"/>
    <n v="0"/>
  </r>
  <r>
    <x v="148"/>
    <s v="Digestive Enzyme"/>
    <x v="5"/>
    <n v="17"/>
    <n v="381.45"/>
    <s v="UK"/>
    <n v="2022"/>
    <x v="3"/>
    <n v="6"/>
    <d v="2022-06-01T00:00:00"/>
    <x v="3"/>
    <n v="2252.73"/>
    <n v="765.26985123966961"/>
    <n v="2.9437067151551526"/>
    <n v="185.17000000000002"/>
    <n v="11.165739590646432"/>
    <x v="0"/>
    <n v="0"/>
  </r>
  <r>
    <x v="149"/>
    <s v="Allergy Pills"/>
    <x v="0"/>
    <n v="11"/>
    <n v="155.16"/>
    <s v="Canada"/>
    <n v="2022"/>
    <x v="2"/>
    <n v="1"/>
    <d v="2022-01-01T00:00:00"/>
    <x v="2"/>
    <n v="656.7700000000001"/>
    <n v="1005.6885416666664"/>
    <n v="0.65305506902919974"/>
    <n v="0"/>
    <n v="0"/>
    <x v="2"/>
    <n v="0"/>
  </r>
  <r>
    <x v="86"/>
    <s v="Digestive Enzyme"/>
    <x v="2"/>
    <n v="18"/>
    <n v="309.25"/>
    <s v="Australia"/>
    <n v="2022"/>
    <x v="6"/>
    <n v="5"/>
    <d v="2022-05-01T00:00:00"/>
    <x v="6"/>
    <n v="1938.8200000000002"/>
    <n v="758.4789545454546"/>
    <n v="2.5561948533719128"/>
    <n v="972.89"/>
    <n v="0.99284605659427083"/>
    <x v="0"/>
    <n v="0"/>
  </r>
  <r>
    <x v="112"/>
    <s v="Pain Relief Tablets"/>
    <x v="5"/>
    <n v="3"/>
    <n v="48.59"/>
    <s v="UK"/>
    <n v="2022"/>
    <x v="3"/>
    <n v="6"/>
    <d v="2022-06-01T00:00:00"/>
    <x v="3"/>
    <n v="2252.73"/>
    <n v="765.26985123966961"/>
    <n v="2.9437067151551526"/>
    <n v="185.17000000000002"/>
    <n v="11.165739590646432"/>
    <x v="0"/>
    <n v="0"/>
  </r>
  <r>
    <x v="150"/>
    <s v="Nasal Spray"/>
    <x v="3"/>
    <n v="14"/>
    <n v="141.91999999999999"/>
    <s v="Canada"/>
    <n v="2022"/>
    <x v="2"/>
    <n v="1"/>
    <d v="2022-01-01T00:00:00"/>
    <x v="2"/>
    <n v="1368.74"/>
    <n v="1418.943555555556"/>
    <n v="0.9646190608787818"/>
    <n v="0"/>
    <n v="0"/>
    <x v="2"/>
    <n v="0"/>
  </r>
  <r>
    <x v="90"/>
    <s v="Cough Syrup"/>
    <x v="6"/>
    <n v="4"/>
    <n v="67.94"/>
    <s v="USA"/>
    <n v="2022"/>
    <x v="7"/>
    <n v="8"/>
    <d v="2022-08-01T00:00:00"/>
    <x v="7"/>
    <n v="896.81"/>
    <n v="1094.9664444444443"/>
    <n v="0.81902966483600015"/>
    <n v="874.87"/>
    <n v="2.5078011590293346E-2"/>
    <x v="0"/>
    <n v="0"/>
  </r>
  <r>
    <x v="151"/>
    <s v="Nasal Spray"/>
    <x v="1"/>
    <n v="13"/>
    <n v="289.57"/>
    <s v="USA"/>
    <n v="2022"/>
    <x v="2"/>
    <n v="1"/>
    <d v="2022-01-01T00:00:00"/>
    <x v="2"/>
    <n v="491.53"/>
    <n v="4206.5988461538454"/>
    <n v="0.11684736719057796"/>
    <n v="0"/>
    <n v="0"/>
    <x v="2"/>
    <n v="0"/>
  </r>
  <r>
    <x v="152"/>
    <s v="Allergy Pills"/>
    <x v="4"/>
    <n v="19"/>
    <n v="335.15"/>
    <s v="Australia"/>
    <n v="2022"/>
    <x v="1"/>
    <n v="3"/>
    <d v="2022-03-01T00:00:00"/>
    <x v="1"/>
    <n v="690.2"/>
    <n v="1945.9349999999999"/>
    <n v="0.35468810623170871"/>
    <n v="1484.3899999999999"/>
    <n v="-0.53502785656060736"/>
    <x v="1"/>
    <n v="0"/>
  </r>
  <r>
    <x v="153"/>
    <s v="Eye Drops"/>
    <x v="6"/>
    <n v="6"/>
    <n v="88.2"/>
    <s v="India"/>
    <n v="2022"/>
    <x v="7"/>
    <n v="8"/>
    <d v="2022-08-01T00:00:00"/>
    <x v="7"/>
    <n v="896.81"/>
    <n v="1094.9664444444443"/>
    <n v="0.81902966483600015"/>
    <n v="874.87"/>
    <n v="2.5078011590293346E-2"/>
    <x v="0"/>
    <n v="0"/>
  </r>
  <r>
    <x v="15"/>
    <s v="Allergy Pills"/>
    <x v="2"/>
    <n v="2"/>
    <n v="47.92"/>
    <s v="Canada"/>
    <n v="2022"/>
    <x v="5"/>
    <n v="4"/>
    <d v="2022-04-01T00:00:00"/>
    <x v="5"/>
    <n v="972.89"/>
    <n v="1516.9579090909092"/>
    <n v="0.64134277831283981"/>
    <n v="522.87"/>
    <n v="0.86067282498517794"/>
    <x v="0"/>
    <n v="0"/>
  </r>
  <r>
    <x v="154"/>
    <s v="Antiseptic Cream"/>
    <x v="5"/>
    <n v="7"/>
    <n v="65.17"/>
    <s v="Australia"/>
    <n v="2022"/>
    <x v="2"/>
    <n v="1"/>
    <d v="2022-01-01T00:00:00"/>
    <x v="2"/>
    <n v="241.89999999999998"/>
    <n v="4208.9841818181831"/>
    <n v="5.7472299621592976E-2"/>
    <n v="0"/>
    <n v="0"/>
    <x v="2"/>
    <n v="0"/>
  </r>
  <r>
    <x v="155"/>
    <s v="Eye Drops"/>
    <x v="0"/>
    <n v="3"/>
    <n v="27.98"/>
    <s v="USA"/>
    <n v="2022"/>
    <x v="2"/>
    <n v="1"/>
    <d v="2022-01-01T00:00:00"/>
    <x v="2"/>
    <n v="656.7700000000001"/>
    <n v="1005.6885416666664"/>
    <n v="0.65305506902919974"/>
    <n v="0"/>
    <n v="0"/>
    <x v="2"/>
    <n v="0"/>
  </r>
  <r>
    <x v="121"/>
    <s v="Allergy Pills"/>
    <x v="6"/>
    <n v="8"/>
    <n v="197.83"/>
    <s v="USA"/>
    <n v="2022"/>
    <x v="0"/>
    <n v="2"/>
    <d v="2022-02-01T00:00:00"/>
    <x v="0"/>
    <n v="930.81000000000006"/>
    <n v="1094.9664444444443"/>
    <n v="0.85008084468950762"/>
    <n v="1214.3899999999999"/>
    <n v="-0.23351641564900885"/>
    <x v="1"/>
    <n v="0"/>
  </r>
  <r>
    <x v="115"/>
    <s v="Nasal Spray"/>
    <x v="1"/>
    <n v="11"/>
    <n v="204.72"/>
    <s v="Canada"/>
    <n v="2022"/>
    <x v="1"/>
    <n v="3"/>
    <d v="2022-03-01T00:00:00"/>
    <x v="1"/>
    <n v="274.01"/>
    <n v="2804.3992307692306"/>
    <n v="9.770720124068806E-2"/>
    <n v="1170.8000000000002"/>
    <n v="-0.76596344379911174"/>
    <x v="1"/>
    <n v="0"/>
  </r>
  <r>
    <x v="115"/>
    <s v="Pain Relief Tablets"/>
    <x v="0"/>
    <n v="17"/>
    <n v="316.18"/>
    <s v="UK"/>
    <n v="2022"/>
    <x v="1"/>
    <n v="3"/>
    <d v="2022-03-01T00:00:00"/>
    <x v="1"/>
    <n v="1795.9"/>
    <n v="862.01874999999984"/>
    <n v="2.0833653560319894"/>
    <n v="837.85"/>
    <n v="1.1434624336098347"/>
    <x v="0"/>
    <n v="0"/>
  </r>
  <r>
    <x v="97"/>
    <s v="Antiseptic Cream"/>
    <x v="6"/>
    <n v="8"/>
    <n v="81.36"/>
    <s v="Australia"/>
    <n v="2022"/>
    <x v="0"/>
    <n v="2"/>
    <d v="2022-02-01T00:00:00"/>
    <x v="0"/>
    <n v="930.81000000000006"/>
    <n v="1094.9664444444443"/>
    <n v="0.85008084468950762"/>
    <n v="1214.3899999999999"/>
    <n v="-0.23351641564900885"/>
    <x v="1"/>
    <n v="0"/>
  </r>
  <r>
    <x v="73"/>
    <s v="Pain Relief Tablets"/>
    <x v="0"/>
    <n v="18"/>
    <n v="315.74"/>
    <s v="India"/>
    <n v="2022"/>
    <x v="1"/>
    <n v="3"/>
    <d v="2022-03-01T00:00:00"/>
    <x v="1"/>
    <n v="1795.9"/>
    <n v="862.01874999999984"/>
    <n v="2.0833653560319894"/>
    <n v="837.85"/>
    <n v="1.1434624336098347"/>
    <x v="0"/>
    <n v="0"/>
  </r>
  <r>
    <x v="156"/>
    <s v="Digestive Enzyme"/>
    <x v="6"/>
    <n v="4"/>
    <n v="88.26"/>
    <s v="India"/>
    <n v="2022"/>
    <x v="0"/>
    <n v="2"/>
    <d v="2022-02-01T00:00:00"/>
    <x v="0"/>
    <n v="930.81000000000006"/>
    <n v="1094.9664444444443"/>
    <n v="0.85008084468950762"/>
    <n v="1214.3899999999999"/>
    <n v="-0.23351641564900885"/>
    <x v="1"/>
    <n v="0"/>
  </r>
  <r>
    <x v="77"/>
    <s v="Pain Relief Tablets"/>
    <x v="3"/>
    <n v="2"/>
    <n v="28.36"/>
    <s v="Canada"/>
    <n v="2022"/>
    <x v="4"/>
    <n v="7"/>
    <d v="2022-07-01T00:00:00"/>
    <x v="4"/>
    <n v="1767.0500000000002"/>
    <n v="709.47177777777802"/>
    <n v="2.4906558024545955"/>
    <n v="1655.98"/>
    <n v="6.7072066087754775E-2"/>
    <x v="0"/>
    <n v="0"/>
  </r>
  <r>
    <x v="35"/>
    <s v="Cough Syrup"/>
    <x v="1"/>
    <n v="9"/>
    <n v="138.31"/>
    <s v="Canada"/>
    <n v="2022"/>
    <x v="6"/>
    <n v="5"/>
    <d v="2022-05-01T00:00:00"/>
    <x v="6"/>
    <n v="2645.1499999999996"/>
    <n v="764.83615384615382"/>
    <n v="3.4584531428048435"/>
    <n v="2185.4700000000003"/>
    <n v="0.21033461909795118"/>
    <x v="0"/>
    <n v="0"/>
  </r>
  <r>
    <x v="157"/>
    <s v="Pain Relief Tablets"/>
    <x v="6"/>
    <n v="18"/>
    <n v="260.35000000000002"/>
    <s v="USA"/>
    <n v="2022"/>
    <x v="6"/>
    <n v="5"/>
    <d v="2022-05-01T00:00:00"/>
    <x v="6"/>
    <n v="791.69999999999993"/>
    <n v="1094.9664444444443"/>
    <n v="0.72303585558887751"/>
    <n v="865.70999999999992"/>
    <n v="-8.5490522230308064E-2"/>
    <x v="1"/>
    <n v="0"/>
  </r>
  <r>
    <x v="29"/>
    <s v="Cough Syrup"/>
    <x v="3"/>
    <n v="13"/>
    <n v="227.31"/>
    <s v="UK"/>
    <n v="2022"/>
    <x v="3"/>
    <n v="6"/>
    <d v="2022-06-01T00:00:00"/>
    <x v="3"/>
    <n v="1655.98"/>
    <n v="591.22648148148176"/>
    <n v="2.8009232533875736"/>
    <n v="1584.09"/>
    <n v="4.5382522457688708E-2"/>
    <x v="0"/>
    <n v="0"/>
  </r>
  <r>
    <x v="90"/>
    <s v="Allergy Pills"/>
    <x v="5"/>
    <n v="16"/>
    <n v="130.5"/>
    <s v="Australia"/>
    <n v="2022"/>
    <x v="7"/>
    <n v="8"/>
    <d v="2022-08-01T00:00:00"/>
    <x v="7"/>
    <n v="1328.57"/>
    <n v="1052.2460454545458"/>
    <n v="1.2626039373006992"/>
    <n v="1698.9899999999998"/>
    <n v="-0.21802364934461055"/>
    <x v="1"/>
    <n v="0"/>
  </r>
  <r>
    <x v="131"/>
    <s v="Nasal Spray"/>
    <x v="0"/>
    <n v="4"/>
    <n v="86.5"/>
    <s v="USA"/>
    <n v="2022"/>
    <x v="4"/>
    <n v="7"/>
    <d v="2022-07-01T00:00:00"/>
    <x v="4"/>
    <n v="537.31000000000006"/>
    <n v="862.01874999999984"/>
    <n v="0.62331590815165006"/>
    <n v="1013.7"/>
    <n v="-0.46995166222748347"/>
    <x v="1"/>
    <n v="0"/>
  </r>
  <r>
    <x v="54"/>
    <s v="Eye Drops"/>
    <x v="1"/>
    <n v="19"/>
    <n v="364.12"/>
    <s v="Australia"/>
    <n v="2022"/>
    <x v="7"/>
    <n v="8"/>
    <d v="2022-08-01T00:00:00"/>
    <x v="7"/>
    <n v="1721.52"/>
    <n v="841.31976923076911"/>
    <n v="2.046213654974506"/>
    <n v="1166.76"/>
    <n v="0.47547053378586857"/>
    <x v="0"/>
    <n v="0"/>
  </r>
  <r>
    <x v="158"/>
    <s v="Eye Drops"/>
    <x v="1"/>
    <n v="7"/>
    <n v="134.85"/>
    <s v="UK"/>
    <n v="2022"/>
    <x v="6"/>
    <n v="5"/>
    <d v="2022-05-01T00:00:00"/>
    <x v="6"/>
    <n v="2645.1499999999996"/>
    <n v="764.83615384615382"/>
    <n v="3.4584531428048435"/>
    <n v="2185.4700000000003"/>
    <n v="0.21033461909795118"/>
    <x v="0"/>
    <n v="0"/>
  </r>
  <r>
    <x v="159"/>
    <s v="Digestive Enzyme"/>
    <x v="4"/>
    <n v="14"/>
    <n v="290.45"/>
    <s v="UK"/>
    <n v="2022"/>
    <x v="0"/>
    <n v="2"/>
    <d v="2022-02-01T00:00:00"/>
    <x v="0"/>
    <n v="1484.3899999999999"/>
    <n v="1111.962857142857"/>
    <n v="1.3349276825793257"/>
    <n v="680.2299999999999"/>
    <n v="1.1821883774605648"/>
    <x v="0"/>
    <n v="0"/>
  </r>
  <r>
    <x v="160"/>
    <s v="Allergy Pills"/>
    <x v="6"/>
    <n v="20"/>
    <n v="244.72"/>
    <s v="Canada"/>
    <n v="2022"/>
    <x v="1"/>
    <n v="3"/>
    <d v="2022-03-01T00:00:00"/>
    <x v="1"/>
    <n v="760.68999999999994"/>
    <n v="1313.9597333333331"/>
    <n v="0.57892946085207286"/>
    <n v="930.81000000000006"/>
    <n v="-0.18276554828590164"/>
    <x v="1"/>
    <n v="0"/>
  </r>
  <r>
    <x v="30"/>
    <s v="Antiseptic Cream"/>
    <x v="0"/>
    <n v="4"/>
    <n v="75.989999999999995"/>
    <s v="UK"/>
    <n v="2022"/>
    <x v="3"/>
    <n v="6"/>
    <d v="2022-06-01T00:00:00"/>
    <x v="3"/>
    <n v="1013.7"/>
    <n v="862.01874999999984"/>
    <n v="1.1759604996991078"/>
    <n v="459.62"/>
    <n v="1.2055176014968889"/>
    <x v="0"/>
    <n v="0"/>
  </r>
  <r>
    <x v="161"/>
    <s v="Eye Drops"/>
    <x v="3"/>
    <n v="13"/>
    <n v="318.33"/>
    <s v="USA"/>
    <n v="2022"/>
    <x v="1"/>
    <n v="3"/>
    <d v="2022-03-01T00:00:00"/>
    <x v="1"/>
    <n v="1095.8999999999999"/>
    <n v="1418.943555555556"/>
    <n v="0.77233516140176861"/>
    <n v="519.11"/>
    <n v="1.1111132515266511"/>
    <x v="0"/>
    <n v="0"/>
  </r>
  <r>
    <x v="42"/>
    <s v="Eye Drops"/>
    <x v="4"/>
    <n v="10"/>
    <n v="220.07"/>
    <s v="USA"/>
    <n v="2022"/>
    <x v="2"/>
    <n v="1"/>
    <d v="2022-01-01T00:00:00"/>
    <x v="2"/>
    <n v="680.2299999999999"/>
    <n v="1556.7479999999998"/>
    <n v="0.43695575648724133"/>
    <n v="0"/>
    <n v="0"/>
    <x v="2"/>
    <n v="0"/>
  </r>
  <r>
    <x v="162"/>
    <s v="Antiseptic Cream"/>
    <x v="3"/>
    <n v="17"/>
    <n v="311.83"/>
    <s v="Canada"/>
    <n v="2022"/>
    <x v="2"/>
    <n v="1"/>
    <d v="2022-01-01T00:00:00"/>
    <x v="2"/>
    <n v="1368.74"/>
    <n v="1418.943555555556"/>
    <n v="0.9646190608787818"/>
    <n v="0"/>
    <n v="0"/>
    <x v="2"/>
    <n v="0"/>
  </r>
  <r>
    <x v="163"/>
    <s v="Antiseptic Cream"/>
    <x v="6"/>
    <n v="12"/>
    <n v="158.5"/>
    <s v="India"/>
    <n v="2022"/>
    <x v="2"/>
    <n v="1"/>
    <d v="2022-01-01T00:00:00"/>
    <x v="2"/>
    <n v="1214.3899999999999"/>
    <n v="821.22483333333321"/>
    <n v="1.4787546000902312"/>
    <n v="0"/>
    <n v="0"/>
    <x v="2"/>
    <n v="0"/>
  </r>
  <r>
    <x v="129"/>
    <s v="Pain Relief Tablets"/>
    <x v="5"/>
    <n v="5"/>
    <n v="57.11"/>
    <s v="Canada"/>
    <n v="2022"/>
    <x v="4"/>
    <n v="7"/>
    <d v="2022-07-01T00:00:00"/>
    <x v="4"/>
    <n v="1698.9899999999998"/>
    <n v="1202.5669090909096"/>
    <n v="1.4128028861898132"/>
    <n v="2252.73"/>
    <n v="-0.24580841911813675"/>
    <x v="1"/>
    <n v="0"/>
  </r>
  <r>
    <x v="164"/>
    <s v="Cough Syrup"/>
    <x v="3"/>
    <n v="7"/>
    <n v="125.02"/>
    <s v="Australia"/>
    <n v="2022"/>
    <x v="0"/>
    <n v="2"/>
    <d v="2022-02-01T00:00:00"/>
    <x v="0"/>
    <n v="519.11"/>
    <n v="1773.6794444444454"/>
    <n v="0.29267408021554675"/>
    <n v="1368.74"/>
    <n v="-0.62073878165319929"/>
    <x v="1"/>
    <n v="0"/>
  </r>
  <r>
    <x v="141"/>
    <s v="Cough Syrup"/>
    <x v="5"/>
    <n v="20"/>
    <n v="494.08"/>
    <s v="USA"/>
    <n v="2022"/>
    <x v="5"/>
    <n v="4"/>
    <d v="2022-04-01T00:00:00"/>
    <x v="5"/>
    <n v="1623.23"/>
    <n v="1402.9947272727277"/>
    <n v="1.156975125028008"/>
    <n v="1922.5800000000002"/>
    <n v="-0.15570223345712539"/>
    <x v="1"/>
    <n v="0"/>
  </r>
  <r>
    <x v="126"/>
    <s v="Antiseptic Cream"/>
    <x v="3"/>
    <n v="17"/>
    <n v="374.2"/>
    <s v="Australia"/>
    <n v="2022"/>
    <x v="4"/>
    <n v="7"/>
    <d v="2022-07-01T00:00:00"/>
    <x v="4"/>
    <n v="1767.0500000000002"/>
    <n v="709.47177777777802"/>
    <n v="2.4906558024545955"/>
    <n v="1655.98"/>
    <n v="6.7072066087754775E-2"/>
    <x v="0"/>
    <n v="0"/>
  </r>
  <r>
    <x v="137"/>
    <s v="Pain Relief Tablets"/>
    <x v="1"/>
    <n v="15"/>
    <n v="312.47000000000003"/>
    <s v="Canada"/>
    <n v="2022"/>
    <x v="0"/>
    <n v="2"/>
    <d v="2022-02-01T00:00:00"/>
    <x v="0"/>
    <n v="1170.8000000000002"/>
    <n v="1682.6395384615382"/>
    <n v="0.69581153493545012"/>
    <n v="491.53"/>
    <n v="1.3819502370150352"/>
    <x v="0"/>
    <n v="0"/>
  </r>
  <r>
    <x v="33"/>
    <s v="Allergy Pills"/>
    <x v="2"/>
    <n v="16"/>
    <n v="371.27"/>
    <s v="India"/>
    <n v="2022"/>
    <x v="4"/>
    <n v="7"/>
    <d v="2022-07-01T00:00:00"/>
    <x v="4"/>
    <n v="1653.05"/>
    <n v="842.75439393939394"/>
    <n v="1.9614848784981569"/>
    <n v="585.20999999999992"/>
    <n v="1.8247124963688253"/>
    <x v="0"/>
    <n v="0"/>
  </r>
  <r>
    <x v="96"/>
    <s v="Digestive Enzyme"/>
    <x v="0"/>
    <n v="2"/>
    <n v="49.7"/>
    <s v="UK"/>
    <n v="2022"/>
    <x v="0"/>
    <n v="2"/>
    <d v="2022-02-01T00:00:00"/>
    <x v="0"/>
    <n v="837.85"/>
    <n v="862.01874999999984"/>
    <n v="0.97196261682243013"/>
    <n v="656.7700000000001"/>
    <n v="0.27571295887449165"/>
    <x v="0"/>
    <n v="0"/>
  </r>
  <r>
    <x v="165"/>
    <s v="Eye Drops"/>
    <x v="5"/>
    <n v="1"/>
    <n v="8.77"/>
    <s v="USA"/>
    <n v="2022"/>
    <x v="0"/>
    <n v="2"/>
    <d v="2022-02-01T00:00:00"/>
    <x v="0"/>
    <n v="1770.3600000000001"/>
    <n v="1052.2460454545458"/>
    <n v="1.6824582117913742"/>
    <n v="241.89999999999998"/>
    <n v="6.3185613890037216"/>
    <x v="0"/>
    <n v="0"/>
  </r>
  <r>
    <x v="166"/>
    <s v="Nasal Spray"/>
    <x v="4"/>
    <n v="7"/>
    <n v="146.37"/>
    <s v="India"/>
    <n v="2022"/>
    <x v="7"/>
    <n v="8"/>
    <d v="2022-08-01T00:00:00"/>
    <x v="7"/>
    <n v="507.65"/>
    <n v="1945.9349999999999"/>
    <n v="0.26087716187847998"/>
    <n v="1056.4100000000001"/>
    <n v="-0.51945740763529313"/>
    <x v="1"/>
    <n v="0"/>
  </r>
  <r>
    <x v="41"/>
    <s v="Digestive Enzyme"/>
    <x v="2"/>
    <n v="15"/>
    <n v="273.64999999999998"/>
    <s v="Canada"/>
    <n v="2022"/>
    <x v="6"/>
    <n v="5"/>
    <d v="2022-05-01T00:00:00"/>
    <x v="6"/>
    <n v="1938.8200000000002"/>
    <n v="758.4789545454546"/>
    <n v="2.5561948533719128"/>
    <n v="972.89"/>
    <n v="0.99284605659427083"/>
    <x v="0"/>
    <n v="0"/>
  </r>
  <r>
    <x v="33"/>
    <s v="Allergy Pills"/>
    <x v="6"/>
    <n v="14"/>
    <n v="185.36"/>
    <s v="USA"/>
    <n v="2022"/>
    <x v="4"/>
    <n v="7"/>
    <d v="2022-07-01T00:00:00"/>
    <x v="4"/>
    <n v="874.87"/>
    <n v="938.54266666666649"/>
    <n v="0.9321579413189528"/>
    <n v="704.09"/>
    <n v="0.24255421892087653"/>
    <x v="0"/>
    <n v="0"/>
  </r>
  <r>
    <x v="115"/>
    <s v="Eye Drops"/>
    <x v="4"/>
    <n v="17"/>
    <n v="219.07"/>
    <s v="Canada"/>
    <n v="2022"/>
    <x v="1"/>
    <n v="3"/>
    <d v="2022-03-01T00:00:00"/>
    <x v="1"/>
    <n v="690.2"/>
    <n v="1945.9349999999999"/>
    <n v="0.35468810623170871"/>
    <n v="1484.3899999999999"/>
    <n v="-0.53502785656060736"/>
    <x v="1"/>
    <n v="0"/>
  </r>
  <r>
    <x v="42"/>
    <s v="Allergy Pills"/>
    <x v="6"/>
    <n v="12"/>
    <n v="134.44"/>
    <s v="UK"/>
    <n v="2022"/>
    <x v="2"/>
    <n v="1"/>
    <d v="2022-01-01T00:00:00"/>
    <x v="2"/>
    <n v="1214.3899999999999"/>
    <n v="821.22483333333321"/>
    <n v="1.4787546000902312"/>
    <n v="0"/>
    <n v="0"/>
    <x v="2"/>
    <n v="0"/>
  </r>
  <r>
    <x v="17"/>
    <s v="Eye Drops"/>
    <x v="5"/>
    <n v="19"/>
    <n v="474.65"/>
    <s v="Australia"/>
    <n v="2022"/>
    <x v="0"/>
    <n v="2"/>
    <d v="2022-02-01T00:00:00"/>
    <x v="0"/>
    <n v="1770.3600000000001"/>
    <n v="1052.2460454545458"/>
    <n v="1.6824582117913742"/>
    <n v="241.89999999999998"/>
    <n v="6.3185613890037216"/>
    <x v="0"/>
    <n v="0"/>
  </r>
  <r>
    <x v="1"/>
    <s v="Eye Drops"/>
    <x v="1"/>
    <n v="14"/>
    <n v="289.68"/>
    <s v="USA"/>
    <n v="2022"/>
    <x v="0"/>
    <n v="2"/>
    <d v="2022-02-01T00:00:00"/>
    <x v="0"/>
    <n v="1170.8000000000002"/>
    <n v="1682.6395384615382"/>
    <n v="0.69581153493545012"/>
    <n v="491.53"/>
    <n v="1.3819502370150352"/>
    <x v="0"/>
    <n v="0"/>
  </r>
  <r>
    <x v="10"/>
    <s v="Cough Syrup"/>
    <x v="6"/>
    <n v="18"/>
    <n v="401.63"/>
    <s v="Australia"/>
    <n v="2022"/>
    <x v="5"/>
    <n v="4"/>
    <d v="2022-04-01T00:00:00"/>
    <x v="5"/>
    <n v="865.70999999999992"/>
    <n v="2189.9328888888886"/>
    <n v="0.39531348398499888"/>
    <n v="760.68999999999994"/>
    <n v="0.13805886760704097"/>
    <x v="0"/>
    <n v="0"/>
  </r>
  <r>
    <x v="167"/>
    <s v="Nasal Spray"/>
    <x v="6"/>
    <n v="12"/>
    <n v="123.89"/>
    <s v="USA"/>
    <n v="2022"/>
    <x v="1"/>
    <n v="3"/>
    <d v="2022-03-01T00:00:00"/>
    <x v="1"/>
    <n v="760.68999999999994"/>
    <n v="1313.9597333333331"/>
    <n v="0.57892946085207286"/>
    <n v="930.81000000000006"/>
    <n v="-0.18276554828590164"/>
    <x v="1"/>
    <n v="0"/>
  </r>
  <r>
    <x v="117"/>
    <s v="Cough Syrup"/>
    <x v="4"/>
    <n v="7"/>
    <n v="140.54"/>
    <s v="UK"/>
    <n v="2022"/>
    <x v="4"/>
    <n v="7"/>
    <d v="2022-07-01T00:00:00"/>
    <x v="4"/>
    <n v="1056.4100000000001"/>
    <n v="1945.9349999999999"/>
    <n v="0.54288041481344451"/>
    <n v="46.75"/>
    <n v="21.597005347593583"/>
    <x v="0"/>
    <n v="0"/>
  </r>
  <r>
    <x v="105"/>
    <s v="Antiseptic Cream"/>
    <x v="3"/>
    <n v="10"/>
    <n v="209.65"/>
    <s v="USA"/>
    <n v="2022"/>
    <x v="4"/>
    <n v="7"/>
    <d v="2022-07-01T00:00:00"/>
    <x v="4"/>
    <n v="1767.0500000000002"/>
    <n v="709.47177777777802"/>
    <n v="2.4906558024545955"/>
    <n v="1655.98"/>
    <n v="6.7072066087754775E-2"/>
    <x v="0"/>
    <n v="0"/>
  </r>
  <r>
    <x v="18"/>
    <s v="Eye Drops"/>
    <x v="0"/>
    <n v="2"/>
    <n v="33.090000000000003"/>
    <s v="UK"/>
    <n v="2022"/>
    <x v="2"/>
    <n v="1"/>
    <d v="2022-01-01T00:00:00"/>
    <x v="2"/>
    <n v="656.7700000000001"/>
    <n v="1005.6885416666664"/>
    <n v="0.65305506902919974"/>
    <n v="0"/>
    <n v="0"/>
    <x v="2"/>
    <n v="0"/>
  </r>
  <r>
    <x v="105"/>
    <s v="Allergy Pills"/>
    <x v="2"/>
    <n v="8"/>
    <n v="157.03"/>
    <s v="India"/>
    <n v="2022"/>
    <x v="4"/>
    <n v="7"/>
    <d v="2022-07-01T00:00:00"/>
    <x v="4"/>
    <n v="1653.05"/>
    <n v="842.75439393939394"/>
    <n v="1.9614848784981569"/>
    <n v="585.20999999999992"/>
    <n v="1.8247124963688253"/>
    <x v="0"/>
    <n v="0"/>
  </r>
  <r>
    <x v="168"/>
    <s v="Antiseptic Cream"/>
    <x v="3"/>
    <n v="1"/>
    <n v="17.670000000000002"/>
    <s v="India"/>
    <n v="2022"/>
    <x v="4"/>
    <n v="7"/>
    <d v="2022-07-01T00:00:00"/>
    <x v="4"/>
    <n v="1767.0500000000002"/>
    <n v="709.47177777777802"/>
    <n v="2.4906558024545955"/>
    <n v="1655.98"/>
    <n v="6.7072066087754775E-2"/>
    <x v="0"/>
    <n v="0"/>
  </r>
  <r>
    <x v="14"/>
    <s v="Cough Syrup"/>
    <x v="3"/>
    <n v="19"/>
    <n v="341.45"/>
    <s v="UK"/>
    <n v="2022"/>
    <x v="3"/>
    <n v="6"/>
    <d v="2022-06-01T00:00:00"/>
    <x v="3"/>
    <n v="1655.98"/>
    <n v="591.22648148148176"/>
    <n v="2.8009232533875736"/>
    <n v="1584.09"/>
    <n v="4.5382522457688708E-2"/>
    <x v="0"/>
    <n v="0"/>
  </r>
  <r>
    <x v="112"/>
    <s v="Digestive Enzyme"/>
    <x v="3"/>
    <n v="14"/>
    <n v="194.98"/>
    <s v="India"/>
    <n v="2022"/>
    <x v="3"/>
    <n v="6"/>
    <d v="2022-06-01T00:00:00"/>
    <x v="3"/>
    <n v="1655.98"/>
    <n v="591.22648148148176"/>
    <n v="2.8009232533875736"/>
    <n v="1584.09"/>
    <n v="4.5382522457688708E-2"/>
    <x v="0"/>
    <n v="0"/>
  </r>
  <r>
    <x v="169"/>
    <s v="Pain Relief Tablets"/>
    <x v="2"/>
    <n v="8"/>
    <n v="78.790000000000006"/>
    <s v="Australia"/>
    <n v="2022"/>
    <x v="7"/>
    <n v="8"/>
    <d v="2022-08-01T00:00:00"/>
    <x v="7"/>
    <n v="652.12"/>
    <n v="1896.1973863636363"/>
    <n v="0.34390934440141774"/>
    <n v="1653.05"/>
    <n v="-0.6055049756510692"/>
    <x v="1"/>
    <n v="0"/>
  </r>
  <r>
    <x v="123"/>
    <s v="Digestive Enzyme"/>
    <x v="0"/>
    <n v="14"/>
    <n v="131.03"/>
    <s v="India"/>
    <n v="2022"/>
    <x v="3"/>
    <n v="6"/>
    <d v="2022-06-01T00:00:00"/>
    <x v="3"/>
    <n v="1013.7"/>
    <n v="862.01874999999984"/>
    <n v="1.1759604996991078"/>
    <n v="459.62"/>
    <n v="1.2055176014968889"/>
    <x v="0"/>
    <n v="0"/>
  </r>
  <r>
    <x v="163"/>
    <s v="Nasal Spray"/>
    <x v="6"/>
    <n v="2"/>
    <n v="33.67"/>
    <s v="Canada"/>
    <n v="2022"/>
    <x v="2"/>
    <n v="1"/>
    <d v="2022-01-01T00:00:00"/>
    <x v="2"/>
    <n v="1214.3899999999999"/>
    <n v="821.22483333333321"/>
    <n v="1.4787546000902312"/>
    <n v="0"/>
    <n v="0"/>
    <x v="2"/>
    <n v="0"/>
  </r>
  <r>
    <x v="170"/>
    <s v="Cough Syrup"/>
    <x v="3"/>
    <n v="5"/>
    <n v="41.09"/>
    <s v="Australia"/>
    <n v="2022"/>
    <x v="3"/>
    <n v="6"/>
    <d v="2022-06-01T00:00:00"/>
    <x v="3"/>
    <n v="1655.98"/>
    <n v="591.22648148148176"/>
    <n v="2.8009232533875736"/>
    <n v="1584.09"/>
    <n v="4.5382522457688708E-2"/>
    <x v="0"/>
    <n v="0"/>
  </r>
  <r>
    <x v="111"/>
    <s v="Pain Relief Tablets"/>
    <x v="2"/>
    <n v="1"/>
    <n v="17.39"/>
    <s v="Canada"/>
    <n v="2022"/>
    <x v="3"/>
    <n v="6"/>
    <d v="2022-06-01T00:00:00"/>
    <x v="3"/>
    <n v="585.20999999999992"/>
    <n v="1896.1973863636363"/>
    <n v="0.30862293356614373"/>
    <n v="1938.8200000000002"/>
    <n v="-0.69816176849836498"/>
    <x v="1"/>
    <n v="0"/>
  </r>
  <r>
    <x v="124"/>
    <s v="Antiseptic Cream"/>
    <x v="5"/>
    <n v="18"/>
    <n v="364.2"/>
    <s v="India"/>
    <n v="2022"/>
    <x v="4"/>
    <n v="7"/>
    <d v="2022-07-01T00:00:00"/>
    <x v="4"/>
    <n v="1698.9899999999998"/>
    <n v="1202.5669090909096"/>
    <n v="1.4128028861898132"/>
    <n v="2252.73"/>
    <n v="-0.24580841911813675"/>
    <x v="1"/>
    <n v="0"/>
  </r>
  <r>
    <x v="171"/>
    <s v="Digestive Enzyme"/>
    <x v="0"/>
    <n v="6"/>
    <n v="68.209999999999994"/>
    <s v="UK"/>
    <n v="2022"/>
    <x v="2"/>
    <n v="1"/>
    <d v="2022-01-01T00:00:00"/>
    <x v="2"/>
    <n v="656.7700000000001"/>
    <n v="1005.6885416666664"/>
    <n v="0.65305506902919974"/>
    <n v="0"/>
    <n v="0"/>
    <x v="2"/>
    <n v="0"/>
  </r>
  <r>
    <x v="172"/>
    <s v="Digestive Enzyme"/>
    <x v="4"/>
    <n v="20"/>
    <n v="479.93"/>
    <s v="Canada"/>
    <n v="2022"/>
    <x v="4"/>
    <n v="7"/>
    <d v="2022-07-01T00:00:00"/>
    <x v="4"/>
    <n v="1056.4100000000001"/>
    <n v="1945.9349999999999"/>
    <n v="0.54288041481344451"/>
    <n v="46.75"/>
    <n v="21.597005347593583"/>
    <x v="0"/>
    <n v="0"/>
  </r>
  <r>
    <x v="173"/>
    <s v="Allergy Pills"/>
    <x v="3"/>
    <n v="6"/>
    <n v="136.59"/>
    <s v="UK"/>
    <n v="2022"/>
    <x v="6"/>
    <n v="5"/>
    <d v="2022-05-01T00:00:00"/>
    <x v="6"/>
    <n v="1584.09"/>
    <n v="709.47177777777802"/>
    <n v="2.2327738038597094"/>
    <n v="377.24"/>
    <n v="3.1991570353090868"/>
    <x v="0"/>
    <n v="0"/>
  </r>
  <r>
    <x v="54"/>
    <s v="Eye Drops"/>
    <x v="5"/>
    <n v="2"/>
    <n v="45.31"/>
    <s v="USA"/>
    <n v="2022"/>
    <x v="7"/>
    <n v="8"/>
    <d v="2022-08-01T00:00:00"/>
    <x v="7"/>
    <n v="1328.57"/>
    <n v="1052.2460454545458"/>
    <n v="1.2626039373006992"/>
    <n v="1698.9899999999998"/>
    <n v="-0.21802364934461055"/>
    <x v="1"/>
    <n v="0"/>
  </r>
  <r>
    <x v="174"/>
    <s v="Antiseptic Cream"/>
    <x v="5"/>
    <n v="11"/>
    <n v="246.17"/>
    <s v="Canada"/>
    <n v="2022"/>
    <x v="1"/>
    <n v="3"/>
    <d v="2022-03-01T00:00:00"/>
    <x v="1"/>
    <n v="1922.5800000000002"/>
    <n v="841.79683636363654"/>
    <n v="2.2839002440364253"/>
    <n v="1770.3600000000001"/>
    <n v="8.5982512031451241E-2"/>
    <x v="0"/>
    <n v="0"/>
  </r>
  <r>
    <x v="162"/>
    <s v="Digestive Enzyme"/>
    <x v="2"/>
    <n v="15"/>
    <n v="362.44"/>
    <s v="Canada"/>
    <n v="2022"/>
    <x v="2"/>
    <n v="1"/>
    <d v="2022-01-01T00:00:00"/>
    <x v="2"/>
    <n v="882.82999999999993"/>
    <n v="1896.1973863636363"/>
    <n v="0.46557916720527454"/>
    <n v="0"/>
    <n v="0"/>
    <x v="2"/>
    <n v="0"/>
  </r>
  <r>
    <x v="66"/>
    <s v="Digestive Enzyme"/>
    <x v="0"/>
    <n v="7"/>
    <n v="133.38"/>
    <s v="UK"/>
    <n v="2022"/>
    <x v="0"/>
    <n v="2"/>
    <d v="2022-02-01T00:00:00"/>
    <x v="0"/>
    <n v="837.85"/>
    <n v="862.01874999999984"/>
    <n v="0.97196261682243013"/>
    <n v="656.7700000000001"/>
    <n v="0.27571295887449165"/>
    <x v="0"/>
    <n v="0"/>
  </r>
  <r>
    <x v="10"/>
    <s v="Eye Drops"/>
    <x v="6"/>
    <n v="1"/>
    <n v="16.87"/>
    <s v="Canada"/>
    <n v="2022"/>
    <x v="5"/>
    <n v="4"/>
    <d v="2022-04-01T00:00:00"/>
    <x v="5"/>
    <n v="865.70999999999992"/>
    <n v="2189.9328888888886"/>
    <n v="0.39531348398499888"/>
    <n v="760.68999999999994"/>
    <n v="0.13805886760704097"/>
    <x v="0"/>
    <n v="0"/>
  </r>
  <r>
    <x v="27"/>
    <s v="Nasal Spray"/>
    <x v="0"/>
    <n v="15"/>
    <n v="191.54"/>
    <s v="Canada"/>
    <n v="2022"/>
    <x v="0"/>
    <n v="2"/>
    <d v="2022-02-01T00:00:00"/>
    <x v="0"/>
    <n v="837.85"/>
    <n v="862.01874999999984"/>
    <n v="0.97196261682243013"/>
    <n v="656.7700000000001"/>
    <n v="0.27571295887449165"/>
    <x v="0"/>
    <n v="0"/>
  </r>
  <r>
    <x v="121"/>
    <s v="Antiseptic Cream"/>
    <x v="1"/>
    <n v="2"/>
    <n v="26.91"/>
    <s v="India"/>
    <n v="2022"/>
    <x v="0"/>
    <n v="2"/>
    <d v="2022-02-01T00:00:00"/>
    <x v="0"/>
    <n v="1170.8000000000002"/>
    <n v="1682.6395384615382"/>
    <n v="0.69581153493545012"/>
    <n v="491.53"/>
    <n v="1.3819502370150352"/>
    <x v="0"/>
    <n v="0"/>
  </r>
  <r>
    <x v="142"/>
    <s v="Digestive Enzyme"/>
    <x v="3"/>
    <n v="3"/>
    <n v="59.95"/>
    <s v="UK"/>
    <n v="2022"/>
    <x v="7"/>
    <n v="8"/>
    <d v="2022-08-01T00:00:00"/>
    <x v="7"/>
    <n v="753.67000000000007"/>
    <n v="1418.943555555556"/>
    <n v="0.53114868244700353"/>
    <n v="1767.0500000000002"/>
    <n v="-0.57348688492119637"/>
    <x v="1"/>
    <n v="0"/>
  </r>
  <r>
    <x v="10"/>
    <s v="Eye Drops"/>
    <x v="1"/>
    <n v="14"/>
    <n v="183.32"/>
    <s v="India"/>
    <n v="2022"/>
    <x v="5"/>
    <n v="4"/>
    <d v="2022-04-01T00:00:00"/>
    <x v="5"/>
    <n v="2185.4700000000003"/>
    <n v="841.31976923076911"/>
    <n v="2.5976686628892689"/>
    <n v="274.01"/>
    <n v="6.9758767928177816"/>
    <x v="0"/>
    <n v="0"/>
  </r>
  <r>
    <x v="164"/>
    <s v="Nasal Spray"/>
    <x v="4"/>
    <n v="15"/>
    <n v="321.39999999999998"/>
    <s v="UK"/>
    <n v="2022"/>
    <x v="0"/>
    <n v="2"/>
    <d v="2022-02-01T00:00:00"/>
    <x v="0"/>
    <n v="1484.3899999999999"/>
    <n v="1111.962857142857"/>
    <n v="1.3349276825793257"/>
    <n v="680.2299999999999"/>
    <n v="1.1821883774605648"/>
    <x v="0"/>
    <n v="0"/>
  </r>
  <r>
    <x v="152"/>
    <s v="Eye Drops"/>
    <x v="5"/>
    <n v="2"/>
    <n v="31.15"/>
    <s v="USA"/>
    <n v="2022"/>
    <x v="1"/>
    <n v="3"/>
    <d v="2022-03-01T00:00:00"/>
    <x v="1"/>
    <n v="1922.5800000000002"/>
    <n v="841.79683636363654"/>
    <n v="2.2839002440364253"/>
    <n v="1770.3600000000001"/>
    <n v="8.5982512031451241E-2"/>
    <x v="0"/>
    <n v="0"/>
  </r>
  <r>
    <x v="114"/>
    <s v="Nasal Spray"/>
    <x v="5"/>
    <n v="8"/>
    <n v="89.9"/>
    <s v="India"/>
    <n v="2022"/>
    <x v="6"/>
    <n v="5"/>
    <d v="2022-05-01T00:00:00"/>
    <x v="6"/>
    <n v="185.17000000000002"/>
    <n v="2805.9894545454554"/>
    <n v="6.5990982147149893E-2"/>
    <n v="1623.23"/>
    <n v="-0.88592497674389947"/>
    <x v="1"/>
    <n v="0"/>
  </r>
  <r>
    <x v="175"/>
    <s v="Antiseptic Cream"/>
    <x v="4"/>
    <n v="5"/>
    <n v="64.41"/>
    <s v="USA"/>
    <n v="2022"/>
    <x v="5"/>
    <n v="4"/>
    <d v="2022-04-01T00:00:00"/>
    <x v="5"/>
    <n v="740.37"/>
    <n v="1556.7479999999998"/>
    <n v="0.47558757101342036"/>
    <n v="690.2"/>
    <n v="7.2689075630252037E-2"/>
    <x v="0"/>
    <n v="0"/>
  </r>
  <r>
    <x v="3"/>
    <s v="Antiseptic Cream"/>
    <x v="0"/>
    <n v="20"/>
    <n v="186.45"/>
    <s v="Australia"/>
    <n v="2022"/>
    <x v="1"/>
    <n v="3"/>
    <d v="2022-03-01T00:00:00"/>
    <x v="1"/>
    <n v="1795.9"/>
    <n v="862.01874999999984"/>
    <n v="2.0833653560319894"/>
    <n v="837.85"/>
    <n v="1.1434624336098347"/>
    <x v="0"/>
    <n v="0"/>
  </r>
  <r>
    <x v="139"/>
    <s v="Nasal Spray"/>
    <x v="5"/>
    <n v="19"/>
    <n v="468.28"/>
    <s v="Australia"/>
    <n v="2022"/>
    <x v="7"/>
    <n v="8"/>
    <d v="2022-08-01T00:00:00"/>
    <x v="7"/>
    <n v="1328.57"/>
    <n v="1052.2460454545458"/>
    <n v="1.2626039373006992"/>
    <n v="1698.9899999999998"/>
    <n v="-0.21802364934461055"/>
    <x v="1"/>
    <n v="0"/>
  </r>
  <r>
    <x v="176"/>
    <s v="Pain Relief Tablets"/>
    <x v="1"/>
    <n v="9"/>
    <n v="188.06"/>
    <s v="USA"/>
    <n v="2022"/>
    <x v="7"/>
    <n v="8"/>
    <d v="2022-08-01T00:00:00"/>
    <x v="7"/>
    <n v="1721.52"/>
    <n v="841.31976923076911"/>
    <n v="2.046213654974506"/>
    <n v="1166.76"/>
    <n v="0.47547053378586857"/>
    <x v="0"/>
    <n v="0"/>
  </r>
  <r>
    <x v="14"/>
    <s v="Antiseptic Cream"/>
    <x v="0"/>
    <n v="4"/>
    <n v="48.71"/>
    <s v="Canada"/>
    <n v="2022"/>
    <x v="3"/>
    <n v="6"/>
    <d v="2022-06-01T00:00:00"/>
    <x v="3"/>
    <n v="1013.7"/>
    <n v="862.01874999999984"/>
    <n v="1.1759604996991078"/>
    <n v="459.62"/>
    <n v="1.2055176014968889"/>
    <x v="0"/>
    <n v="0"/>
  </r>
  <r>
    <x v="177"/>
    <s v="Eye Drops"/>
    <x v="4"/>
    <n v="18"/>
    <n v="161.49"/>
    <s v="Australia"/>
    <n v="2022"/>
    <x v="5"/>
    <n v="4"/>
    <d v="2022-04-01T00:00:00"/>
    <x v="5"/>
    <n v="740.37"/>
    <n v="1556.7479999999998"/>
    <n v="0.47558757101342036"/>
    <n v="690.2"/>
    <n v="7.2689075630252037E-2"/>
    <x v="0"/>
    <n v="0"/>
  </r>
  <r>
    <x v="165"/>
    <s v="Antiseptic Cream"/>
    <x v="1"/>
    <n v="5"/>
    <n v="120.28"/>
    <s v="USA"/>
    <n v="2022"/>
    <x v="0"/>
    <n v="2"/>
    <d v="2022-02-01T00:00:00"/>
    <x v="0"/>
    <n v="1170.8000000000002"/>
    <n v="1682.6395384615382"/>
    <n v="0.69581153493545012"/>
    <n v="491.53"/>
    <n v="1.3819502370150352"/>
    <x v="0"/>
    <n v="0"/>
  </r>
  <r>
    <x v="42"/>
    <s v="Antiseptic Cream"/>
    <x v="4"/>
    <n v="8"/>
    <n v="149.88999999999999"/>
    <s v="Canada"/>
    <n v="2022"/>
    <x v="2"/>
    <n v="1"/>
    <d v="2022-01-01T00:00:00"/>
    <x v="2"/>
    <n v="680.2299999999999"/>
    <n v="1556.7479999999998"/>
    <n v="0.43695575648724133"/>
    <n v="0"/>
    <n v="0"/>
    <x v="2"/>
    <n v="0"/>
  </r>
  <r>
    <x v="39"/>
    <s v="Nasal Spray"/>
    <x v="5"/>
    <n v="9"/>
    <n v="128.33000000000001"/>
    <s v="Australia"/>
    <n v="2022"/>
    <x v="7"/>
    <n v="8"/>
    <d v="2022-08-01T00:00:00"/>
    <x v="7"/>
    <n v="1328.57"/>
    <n v="1052.2460454545458"/>
    <n v="1.2626039373006992"/>
    <n v="1698.9899999999998"/>
    <n v="-0.21802364934461055"/>
    <x v="1"/>
    <n v="0"/>
  </r>
  <r>
    <x v="125"/>
    <s v="Antiseptic Cream"/>
    <x v="1"/>
    <n v="4"/>
    <n v="73.27"/>
    <s v="USA"/>
    <n v="2022"/>
    <x v="4"/>
    <n v="7"/>
    <d v="2022-07-01T00:00:00"/>
    <x v="4"/>
    <n v="1166.76"/>
    <n v="1682.6395384615382"/>
    <n v="0.69341054535470237"/>
    <n v="761.09999999999991"/>
    <n v="0.53299172250689808"/>
    <x v="0"/>
    <n v="0"/>
  </r>
  <r>
    <x v="119"/>
    <s v="Digestive Enzyme"/>
    <x v="3"/>
    <n v="5"/>
    <n v="103.86"/>
    <s v="India"/>
    <n v="2022"/>
    <x v="7"/>
    <n v="8"/>
    <d v="2022-08-01T00:00:00"/>
    <x v="7"/>
    <n v="753.67000000000007"/>
    <n v="1418.943555555556"/>
    <n v="0.53114868244700353"/>
    <n v="1767.0500000000002"/>
    <n v="-0.57348688492119637"/>
    <x v="1"/>
    <n v="0"/>
  </r>
  <r>
    <x v="96"/>
    <s v="Digestive Enzyme"/>
    <x v="4"/>
    <n v="15"/>
    <n v="302.45999999999998"/>
    <s v="UK"/>
    <n v="2022"/>
    <x v="0"/>
    <n v="2"/>
    <d v="2022-02-01T00:00:00"/>
    <x v="0"/>
    <n v="1484.3899999999999"/>
    <n v="1111.962857142857"/>
    <n v="1.3349276825793257"/>
    <n v="680.2299999999999"/>
    <n v="1.1821883774605648"/>
    <x v="0"/>
    <n v="0"/>
  </r>
  <r>
    <x v="25"/>
    <s v="Allergy Pills"/>
    <x v="6"/>
    <n v="3"/>
    <n v="52.5"/>
    <s v="India"/>
    <n v="2022"/>
    <x v="7"/>
    <n v="8"/>
    <d v="2022-08-01T00:00:00"/>
    <x v="7"/>
    <n v="896.81"/>
    <n v="1094.9664444444443"/>
    <n v="0.81902966483600015"/>
    <n v="874.87"/>
    <n v="2.5078011590293346E-2"/>
    <x v="0"/>
    <n v="0"/>
  </r>
  <r>
    <x v="16"/>
    <s v="Nasal Spray"/>
    <x v="0"/>
    <n v="5"/>
    <n v="65.67"/>
    <s v="UK"/>
    <n v="2022"/>
    <x v="5"/>
    <n v="4"/>
    <d v="2022-04-01T00:00:00"/>
    <x v="5"/>
    <n v="574.2399999999999"/>
    <n v="1206.8262499999996"/>
    <n v="0.47582657404079509"/>
    <n v="1795.9"/>
    <n v="-0.68024945709672047"/>
    <x v="1"/>
    <n v="0"/>
  </r>
  <r>
    <x v="178"/>
    <s v="Eye Drops"/>
    <x v="6"/>
    <n v="17"/>
    <n v="247.43"/>
    <s v="USA"/>
    <n v="2022"/>
    <x v="2"/>
    <n v="1"/>
    <d v="2022-01-01T00:00:00"/>
    <x v="2"/>
    <n v="1214.3899999999999"/>
    <n v="821.22483333333321"/>
    <n v="1.4787546000902312"/>
    <n v="0"/>
    <n v="0"/>
    <x v="2"/>
    <n v="0"/>
  </r>
  <r>
    <x v="75"/>
    <s v="Digestive Enzyme"/>
    <x v="5"/>
    <n v="3"/>
    <n v="65.98"/>
    <s v="UK"/>
    <n v="2022"/>
    <x v="7"/>
    <n v="8"/>
    <d v="2022-08-01T00:00:00"/>
    <x v="7"/>
    <n v="1328.57"/>
    <n v="1052.2460454545458"/>
    <n v="1.2626039373006992"/>
    <n v="1698.9899999999998"/>
    <n v="-0.21802364934461055"/>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8602EA-E313-4282-832D-9A167DB7A47E}" name="PivotTable6" cacheId="1"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4">
  <location ref="P28:R44" firstHeaderRow="2" firstDataRow="2" firstDataCol="2"/>
  <pivotFields count="20">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2">
    <field x="7"/>
    <field x="16"/>
  </rowFields>
  <rowItems count="15">
    <i>
      <x/>
      <x v="2"/>
    </i>
    <i>
      <x v="1"/>
      <x/>
    </i>
    <i r="1">
      <x v="1"/>
    </i>
    <i>
      <x v="2"/>
      <x/>
    </i>
    <i r="1">
      <x v="1"/>
    </i>
    <i>
      <x v="3"/>
      <x/>
    </i>
    <i r="1">
      <x v="1"/>
    </i>
    <i>
      <x v="4"/>
      <x/>
    </i>
    <i r="1">
      <x v="1"/>
    </i>
    <i>
      <x v="5"/>
      <x/>
    </i>
    <i r="1">
      <x v="1"/>
    </i>
    <i>
      <x v="6"/>
      <x/>
    </i>
    <i r="1">
      <x v="1"/>
    </i>
    <i>
      <x v="7"/>
      <x/>
    </i>
    <i r="1">
      <x v="1"/>
    </i>
  </rowItems>
  <colItems count="1">
    <i/>
  </colItems>
  <dataFields count="1">
    <dataField name="Sum of Unique Flag" fld="17" baseField="0" baseItem="0"/>
  </dataFields>
  <chartFormats count="2">
    <chartFormat chart="2" format="3" series="1">
      <pivotArea type="data" outline="0" fieldPosition="0"/>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13D080-DFE3-4BD8-9176-1A840A971D11}" name="Daily Sales Trend"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6">
  <location ref="M1:N181" firstHeaderRow="2" firstDataRow="2" firstDataCol="1"/>
  <pivotFields count="19">
    <pivotField axis="axisRow" compact="0" numFmtId="14" outline="0" showAll="0" sortType="ascending"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items count="7">
        <item x="6"/>
        <item x="1"/>
        <item x="2"/>
        <item x="3"/>
        <item x="4"/>
        <item x="5"/>
        <item x="0"/>
      </items>
      <extLst>
        <ext xmlns:x14="http://schemas.microsoft.com/office/spreadsheetml/2009/9/main" uri="{2946ED86-A175-432a-8AC1-64E0C546D7DE}">
          <x14:pivotField fillDownLabels="1"/>
        </ext>
      </extLst>
    </pivotField>
    <pivotField compact="0" outline="0" showAll="0" sortType="ascending" defaultSubtotal="0">
      <items count="7">
        <item x="6"/>
        <item x="0"/>
        <item x="1"/>
        <item x="3"/>
        <item x="5"/>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4"/>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0"/>
  </rowFields>
  <rowItems count="1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rowItems>
  <colItems count="1">
    <i/>
  </colItems>
  <dataFields count="1">
    <dataField name="Sum of Amount ($)" fld="4" baseField="0" baseItem="1"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E89D02-0BFC-4994-B050-DF70D7B402D1}" name="Sales Person Performance"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5">
  <location ref="P1:Q9" firstHeaderRow="2" firstDataRow="2" firstDataCol="1"/>
  <pivotFields count="19">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items count="7">
        <item x="6"/>
        <item x="1"/>
        <item x="2"/>
        <item x="3"/>
        <item x="4"/>
        <item x="5"/>
        <item x="0"/>
      </items>
      <extLst>
        <ext xmlns:x14="http://schemas.microsoft.com/office/spreadsheetml/2009/9/main" uri="{2946ED86-A175-432a-8AC1-64E0C546D7DE}">
          <x14:pivotField fillDownLabels="1"/>
        </ext>
      </extLst>
    </pivotField>
    <pivotField axis="axisRow" compact="0" outline="0" showAll="0" sortType="ascending" defaultSubtotal="0">
      <items count="7">
        <item x="6"/>
        <item x="0"/>
        <item x="1"/>
        <item x="3"/>
        <item x="5"/>
        <item x="2"/>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4"/>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2"/>
  </rowFields>
  <rowItems count="7">
    <i>
      <x v="6"/>
    </i>
    <i>
      <x v="1"/>
    </i>
    <i>
      <x/>
    </i>
    <i>
      <x v="5"/>
    </i>
    <i>
      <x v="3"/>
    </i>
    <i>
      <x v="2"/>
    </i>
    <i>
      <x v="4"/>
    </i>
  </rowItems>
  <colItems count="1">
    <i/>
  </colItems>
  <dataFields count="1">
    <dataField name="Sum of Amount ($)" fld="4" baseField="0" baseItem="1"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ED59FD-1CC6-4291-A749-DF560D5ED231}" name="Growing vs Degrowing"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9">
  <location ref="P11:Q15" firstHeaderRow="2" firstDataRow="2" firstDataCol="1"/>
  <pivotFields count="19">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items count="7">
        <item x="6"/>
        <item x="1"/>
        <item x="2"/>
        <item x="3"/>
        <item x="4"/>
        <item x="5"/>
        <item x="0"/>
      </items>
      <extLst>
        <ext xmlns:x14="http://schemas.microsoft.com/office/spreadsheetml/2009/9/main" uri="{2946ED86-A175-432a-8AC1-64E0C546D7DE}">
          <x14:pivotField fillDownLabels="1"/>
        </ext>
      </extLst>
    </pivotField>
    <pivotField dataField="1" compact="0" outline="0" showAll="0" defaultSubtotal="0">
      <items count="7">
        <item x="6"/>
        <item x="0"/>
        <item x="1"/>
        <item x="3"/>
        <item x="5"/>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4"/>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16"/>
  </rowFields>
  <rowItems count="3">
    <i>
      <x/>
    </i>
    <i>
      <x v="1"/>
    </i>
    <i>
      <x v="2"/>
    </i>
  </rowItems>
  <colItems count="1">
    <i/>
  </colItems>
  <dataFields count="1">
    <dataField name="Count of Sales Person" fld="2"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6" count="1" selected="0">
            <x v="0"/>
          </reference>
        </references>
      </pivotArea>
    </chartFormat>
    <chartFormat chart="3" format="7">
      <pivotArea type="data" outline="0" fieldPosition="0">
        <references count="2">
          <reference field="4294967294" count="1" selected="0">
            <x v="0"/>
          </reference>
          <reference field="16" count="1" selected="0">
            <x v="1"/>
          </reference>
        </references>
      </pivotArea>
    </chartFormat>
    <chartFormat chart="3"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1EBA8D-C46B-44D3-AD65-559E1EA1E445}" name="Monthly Sales Trend"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9">
  <location ref="P17:Q26" firstHeaderRow="2" firstDataRow="2" firstDataCol="1"/>
  <pivotFields count="19">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items count="7">
        <item x="6"/>
        <item x="1"/>
        <item x="2"/>
        <item x="3"/>
        <item x="4"/>
        <item x="5"/>
        <item x="0"/>
      </items>
      <extLst>
        <ext xmlns:x14="http://schemas.microsoft.com/office/spreadsheetml/2009/9/main" uri="{2946ED86-A175-432a-8AC1-64E0C546D7DE}">
          <x14:pivotField fillDownLabels="1"/>
        </ext>
      </extLst>
    </pivotField>
    <pivotField compact="0" outline="0" showAll="0" defaultSubtotal="0">
      <items count="7">
        <item x="6"/>
        <item x="0"/>
        <item x="1"/>
        <item x="3"/>
        <item x="5"/>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4"/>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7"/>
  </rowFields>
  <rowItems count="8">
    <i>
      <x/>
    </i>
    <i>
      <x v="1"/>
    </i>
    <i>
      <x v="2"/>
    </i>
    <i>
      <x v="3"/>
    </i>
    <i>
      <x v="4"/>
    </i>
    <i>
      <x v="5"/>
    </i>
    <i>
      <x v="6"/>
    </i>
    <i>
      <x v="7"/>
    </i>
  </rowItems>
  <colItems count="1">
    <i/>
  </colItems>
  <dataFields count="1">
    <dataField name="Sum of Amount ($)" fld="4" baseField="7"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0B1876-FE0F-46CB-8978-F339A57E9352}" name="PivotTable2" cacheId="1"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9">
  <location ref="A20:C36" firstHeaderRow="2" firstDataRow="2" firstDataCol="2"/>
  <pivotFields count="20">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8">
        <item x="5"/>
        <item x="7"/>
        <item x="0"/>
        <item x="2"/>
        <item x="4"/>
        <item x="3"/>
        <item x="1"/>
        <item x="6"/>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2">
    <field x="10"/>
    <field x="16"/>
  </rowFields>
  <rowItems count="15">
    <i>
      <x/>
      <x/>
    </i>
    <i r="1">
      <x v="1"/>
    </i>
    <i>
      <x v="1"/>
      <x/>
    </i>
    <i r="1">
      <x v="1"/>
    </i>
    <i>
      <x v="2"/>
      <x/>
    </i>
    <i r="1">
      <x v="1"/>
    </i>
    <i>
      <x v="3"/>
      <x v="2"/>
    </i>
    <i>
      <x v="4"/>
      <x/>
    </i>
    <i r="1">
      <x v="1"/>
    </i>
    <i>
      <x v="5"/>
      <x/>
    </i>
    <i r="1">
      <x v="1"/>
    </i>
    <i>
      <x v="6"/>
      <x/>
    </i>
    <i r="1">
      <x v="1"/>
    </i>
    <i>
      <x v="7"/>
      <x/>
    </i>
    <i r="1">
      <x v="1"/>
    </i>
  </rowItems>
  <colItems count="1">
    <i/>
  </colItems>
  <dataFields count="1">
    <dataField name="Sum of Unique Flag"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7CCEDF-AF41-4EE3-8474-A43C8FEBEFA0}" name="PivotTable1" cacheId="1"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5">
  <location ref="A9:B17" firstHeaderRow="2" firstDataRow="2" firstDataCol="1"/>
  <pivotFields count="20">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7">
        <item x="6"/>
        <item x="0"/>
        <item x="1"/>
        <item x="3"/>
        <item x="5"/>
        <item x="2"/>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2"/>
  </rowFields>
  <rowItems count="7">
    <i>
      <x v="4"/>
    </i>
    <i>
      <x v="2"/>
    </i>
    <i>
      <x v="3"/>
    </i>
    <i>
      <x v="5"/>
    </i>
    <i>
      <x/>
    </i>
    <i>
      <x v="1"/>
    </i>
    <i>
      <x v="6"/>
    </i>
  </rowItems>
  <colItems count="1">
    <i/>
  </colItems>
  <dataFields count="1">
    <dataField name="Sum of Amount ($)" fld="4" baseField="0" baseItem="1"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CB2D2E-A8F4-4580-8407-8DA55CF8AF1E}" name="Weekly Performance" cacheId="1"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location ref="A1:C3" firstHeaderRow="1" firstDataRow="2" firstDataCol="1"/>
  <pivotFields count="20">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sortType="ascending"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Items count="1">
    <i/>
  </rowItems>
  <colFields count="1">
    <field x="-2"/>
  </colFields>
  <colItems count="2">
    <i>
      <x/>
    </i>
    <i i="1">
      <x v="1"/>
    </i>
  </colItems>
  <dataFields count="2">
    <dataField name="Sum of Amount ($)" fld="4" baseField="0" baseItem="1" numFmtId="165"/>
    <dataField name=" Monthly Target" fld="12" subtotal="max" baseField="10" baseItem="0" numFmtId="164"/>
  </dataFields>
  <formats count="6">
    <format dxfId="12">
      <pivotArea field="-2" type="button" dataOnly="0" labelOnly="1" outline="0" axis="axisCol" fieldPosition="0"/>
    </format>
    <format dxfId="11">
      <pivotArea type="topRight" dataOnly="0" labelOnly="1" outline="0" fieldPosition="0"/>
    </format>
    <format dxfId="10">
      <pivotArea outline="0" fieldPosition="0">
        <references count="1">
          <reference field="4294967294" count="1">
            <x v="1"/>
          </reference>
        </references>
      </pivotArea>
    </format>
    <format dxfId="9">
      <pivotArea outline="0" collapsedLevelsAreSubtotals="1" fieldPosition="0"/>
    </format>
    <format dxfId="8">
      <pivotArea dataOnly="0" labelOnly="1" outline="0" fieldPosition="0">
        <references count="1">
          <reference field="4294967294" count="1">
            <x v="1"/>
          </reference>
        </references>
      </pivotArea>
    </format>
    <format dxfId="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85D3D8-ED7A-4728-9E75-F4AAB694E262}"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6">
  <location ref="A198:C207" firstHeaderRow="1" firstDataRow="2" firstDataCol="1"/>
  <pivotFields count="19">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items count="7">
        <item x="6"/>
        <item x="1"/>
        <item x="2"/>
        <item x="3"/>
        <item x="4"/>
        <item x="5"/>
        <item x="0"/>
      </items>
      <extLst>
        <ext xmlns:x14="http://schemas.microsoft.com/office/spreadsheetml/2009/9/main" uri="{2946ED86-A175-432a-8AC1-64E0C546D7DE}">
          <x14:pivotField fillDownLabels="1"/>
        </ext>
      </extLst>
    </pivotField>
    <pivotField compact="0" outline="0" showAll="0" sortType="ascending" defaultSubtotal="0">
      <items count="7">
        <item x="6"/>
        <item x="0"/>
        <item x="1"/>
        <item x="3"/>
        <item x="5"/>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4"/>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8">
        <item x="5"/>
        <item x="7"/>
        <item x="0"/>
        <item x="2"/>
        <item x="4"/>
        <item x="3"/>
        <item x="1"/>
        <item x="6"/>
      </items>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10"/>
  </rowFields>
  <rowItems count="8">
    <i>
      <x/>
    </i>
    <i>
      <x v="1"/>
    </i>
    <i>
      <x v="2"/>
    </i>
    <i>
      <x v="3"/>
    </i>
    <i>
      <x v="4"/>
    </i>
    <i>
      <x v="5"/>
    </i>
    <i>
      <x v="6"/>
    </i>
    <i>
      <x v="7"/>
    </i>
  </rowItems>
  <colFields count="1">
    <field x="-2"/>
  </colFields>
  <colItems count="2">
    <i>
      <x/>
    </i>
    <i i="1">
      <x v="1"/>
    </i>
  </colItems>
  <dataFields count="2">
    <dataField name=" Monthly Sales" fld="11" subtotal="max" baseField="10" baseItem="0" numFmtId="165"/>
    <dataField name=" Monthly Target" fld="12" subtotal="max" baseField="10" baseItem="0" numFmtId="164"/>
  </dataFields>
  <chartFormats count="3">
    <chartFormat chart="3" format="9" series="1">
      <pivotArea type="data" outline="0" fieldPosition="0"/>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336F25-809A-48E9-B927-BA29A5777F50}" name="Monthly Sales Trend"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9">
  <location ref="K17:L26" firstHeaderRow="2" firstDataRow="2" firstDataCol="1"/>
  <pivotFields count="19">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items count="7">
        <item x="6"/>
        <item x="1"/>
        <item x="2"/>
        <item x="3"/>
        <item x="4"/>
        <item x="5"/>
        <item x="0"/>
      </items>
      <extLst>
        <ext xmlns:x14="http://schemas.microsoft.com/office/spreadsheetml/2009/9/main" uri="{2946ED86-A175-432a-8AC1-64E0C546D7DE}">
          <x14:pivotField fillDownLabels="1"/>
        </ext>
      </extLst>
    </pivotField>
    <pivotField compact="0" outline="0" showAll="0" defaultSubtotal="0">
      <items count="7">
        <item x="6"/>
        <item x="0"/>
        <item x="1"/>
        <item x="3"/>
        <item x="5"/>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4"/>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7"/>
  </rowFields>
  <rowItems count="8">
    <i>
      <x/>
    </i>
    <i>
      <x v="1"/>
    </i>
    <i>
      <x v="2"/>
    </i>
    <i>
      <x v="3"/>
    </i>
    <i>
      <x v="4"/>
    </i>
    <i>
      <x v="5"/>
    </i>
    <i>
      <x v="6"/>
    </i>
    <i>
      <x v="7"/>
    </i>
  </rowItems>
  <colItems count="1">
    <i/>
  </colItems>
  <dataFields count="1">
    <dataField name="Sum of Amount ($)" fld="4" baseField="7"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7A629C-CD15-4A35-8B47-ECD9153E7B0F}" name="Growing vs Degrowing"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9">
  <location ref="K11:L15" firstHeaderRow="2" firstDataRow="2" firstDataCol="1"/>
  <pivotFields count="19">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items count="7">
        <item x="6"/>
        <item x="1"/>
        <item x="2"/>
        <item x="3"/>
        <item x="4"/>
        <item x="5"/>
        <item x="0"/>
      </items>
      <extLst>
        <ext xmlns:x14="http://schemas.microsoft.com/office/spreadsheetml/2009/9/main" uri="{2946ED86-A175-432a-8AC1-64E0C546D7DE}">
          <x14:pivotField fillDownLabels="1"/>
        </ext>
      </extLst>
    </pivotField>
    <pivotField dataField="1" compact="0" outline="0" showAll="0" defaultSubtotal="0">
      <items count="7">
        <item x="6"/>
        <item x="0"/>
        <item x="1"/>
        <item x="3"/>
        <item x="5"/>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4"/>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16"/>
  </rowFields>
  <rowItems count="3">
    <i>
      <x/>
    </i>
    <i>
      <x v="1"/>
    </i>
    <i>
      <x v="2"/>
    </i>
  </rowItems>
  <colItems count="1">
    <i/>
  </colItems>
  <dataFields count="1">
    <dataField name="Count of Sales Person" fld="2"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6" count="1" selected="0">
            <x v="0"/>
          </reference>
        </references>
      </pivotArea>
    </chartFormat>
    <chartFormat chart="3" format="7">
      <pivotArea type="data" outline="0" fieldPosition="0">
        <references count="2">
          <reference field="4294967294" count="1" selected="0">
            <x v="0"/>
          </reference>
          <reference field="16" count="1" selected="0">
            <x v="1"/>
          </reference>
        </references>
      </pivotArea>
    </chartFormat>
    <chartFormat chart="3"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F93769-0460-4147-A6D5-2217CDBCD27D}" name="Sales Person Performance"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5">
  <location ref="K1:L9" firstHeaderRow="2" firstDataRow="2" firstDataCol="1"/>
  <pivotFields count="19">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items count="7">
        <item x="6"/>
        <item x="1"/>
        <item x="2"/>
        <item x="3"/>
        <item x="4"/>
        <item x="5"/>
        <item x="0"/>
      </items>
      <extLst>
        <ext xmlns:x14="http://schemas.microsoft.com/office/spreadsheetml/2009/9/main" uri="{2946ED86-A175-432a-8AC1-64E0C546D7DE}">
          <x14:pivotField fillDownLabels="1"/>
        </ext>
      </extLst>
    </pivotField>
    <pivotField axis="axisRow" compact="0" outline="0" showAll="0" sortType="ascending" defaultSubtotal="0">
      <items count="7">
        <item x="6"/>
        <item x="0"/>
        <item x="1"/>
        <item x="3"/>
        <item x="5"/>
        <item x="2"/>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4"/>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2"/>
  </rowFields>
  <rowItems count="7">
    <i>
      <x v="6"/>
    </i>
    <i>
      <x v="1"/>
    </i>
    <i>
      <x/>
    </i>
    <i>
      <x v="5"/>
    </i>
    <i>
      <x v="3"/>
    </i>
    <i>
      <x v="2"/>
    </i>
    <i>
      <x v="4"/>
    </i>
  </rowItems>
  <colItems count="1">
    <i/>
  </colItems>
  <dataFields count="1">
    <dataField name="Sum of Amount ($)" fld="4" baseField="0" baseItem="1"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1136B7-B861-4FB0-83FF-F8B27D6E0E5A}" name="Daily Sales Trend"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6">
  <location ref="H1:I181" firstHeaderRow="2" firstDataRow="2" firstDataCol="1"/>
  <pivotFields count="19">
    <pivotField axis="axisRow" compact="0" numFmtId="14" outline="0" showAll="0" sortType="ascending"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items count="7">
        <item x="6"/>
        <item x="1"/>
        <item x="2"/>
        <item x="3"/>
        <item x="4"/>
        <item x="5"/>
        <item x="0"/>
      </items>
      <extLst>
        <ext xmlns:x14="http://schemas.microsoft.com/office/spreadsheetml/2009/9/main" uri="{2946ED86-A175-432a-8AC1-64E0C546D7DE}">
          <x14:pivotField fillDownLabels="1"/>
        </ext>
      </extLst>
    </pivotField>
    <pivotField compact="0" outline="0" showAll="0" sortType="ascending" defaultSubtotal="0">
      <items count="7">
        <item x="6"/>
        <item x="0"/>
        <item x="1"/>
        <item x="3"/>
        <item x="5"/>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4"/>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0"/>
  </rowFields>
  <rowItems count="1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rowItems>
  <colItems count="1">
    <i/>
  </colItems>
  <dataFields count="1">
    <dataField name="Sum of Amount ($)" fld="4" baseField="0" baseItem="1"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C8654B-A525-41B0-8C9E-3F795DFE5248}" name="PivotTable6" cacheId="1"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4">
  <location ref="K28:M44" firstHeaderRow="2" firstDataRow="2" firstDataCol="2"/>
  <pivotFields count="20">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2">
    <field x="7"/>
    <field x="16"/>
  </rowFields>
  <rowItems count="15">
    <i>
      <x/>
      <x v="2"/>
    </i>
    <i>
      <x v="1"/>
      <x/>
    </i>
    <i r="1">
      <x v="1"/>
    </i>
    <i>
      <x v="2"/>
      <x/>
    </i>
    <i r="1">
      <x v="1"/>
    </i>
    <i>
      <x v="3"/>
      <x/>
    </i>
    <i r="1">
      <x v="1"/>
    </i>
    <i>
      <x v="4"/>
      <x/>
    </i>
    <i r="1">
      <x v="1"/>
    </i>
    <i>
      <x v="5"/>
      <x/>
    </i>
    <i r="1">
      <x v="1"/>
    </i>
    <i>
      <x v="6"/>
      <x/>
    </i>
    <i r="1">
      <x v="1"/>
    </i>
    <i>
      <x v="7"/>
      <x/>
    </i>
    <i r="1">
      <x v="1"/>
    </i>
  </rowItems>
  <colItems count="1">
    <i/>
  </colItems>
  <dataFields count="1">
    <dataField name="Sum of Unique Flag" fld="17" baseField="0" baseItem="0"/>
  </dataFields>
  <chartFormats count="2">
    <chartFormat chart="2" format="3" series="1">
      <pivotArea type="data" outline="0" fieldPosition="0"/>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3B07E4-4DEC-48D7-8A61-2F9496C7A3B2}"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chartFormat="6">
  <location ref="A198:C207" firstHeaderRow="1" firstDataRow="2" firstDataCol="1"/>
  <pivotFields count="19">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items count="7">
        <item x="6"/>
        <item x="1"/>
        <item x="2"/>
        <item x="3"/>
        <item x="4"/>
        <item x="5"/>
        <item x="0"/>
      </items>
      <extLst>
        <ext xmlns:x14="http://schemas.microsoft.com/office/spreadsheetml/2009/9/main" uri="{2946ED86-A175-432a-8AC1-64E0C546D7DE}">
          <x14:pivotField fillDownLabels="1"/>
        </ext>
      </extLst>
    </pivotField>
    <pivotField compact="0" outline="0" showAll="0" sortType="ascending" defaultSubtotal="0">
      <items count="7">
        <item x="6"/>
        <item x="0"/>
        <item x="1"/>
        <item x="3"/>
        <item x="5"/>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4"/>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8">
        <item x="5"/>
        <item x="7"/>
        <item x="0"/>
        <item x="2"/>
        <item x="4"/>
        <item x="3"/>
        <item x="1"/>
        <item x="6"/>
      </items>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10"/>
  </rowFields>
  <rowItems count="8">
    <i>
      <x/>
    </i>
    <i>
      <x v="1"/>
    </i>
    <i>
      <x v="2"/>
    </i>
    <i>
      <x v="3"/>
    </i>
    <i>
      <x v="4"/>
    </i>
    <i>
      <x v="5"/>
    </i>
    <i>
      <x v="6"/>
    </i>
    <i>
      <x v="7"/>
    </i>
  </rowItems>
  <colFields count="1">
    <field x="-2"/>
  </colFields>
  <colItems count="2">
    <i>
      <x/>
    </i>
    <i i="1">
      <x v="1"/>
    </i>
  </colItems>
  <dataFields count="2">
    <dataField name=" Monthly Sales" fld="11" subtotal="max" baseField="10" baseItem="0" numFmtId="165"/>
    <dataField name=" Monthly Target" fld="12" subtotal="max" baseField="10" baseItem="0" numFmtId="164"/>
  </dataFields>
  <chartFormats count="3">
    <chartFormat chart="3" format="9" series="1">
      <pivotArea type="data" outline="0" fieldPosition="0"/>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5A2082F-DCC6-4D1B-96A9-A255FE7922D9}" name="Weekly Performance"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gridDropZones="1" multipleFieldFilters="0">
  <location ref="A1:F58" firstHeaderRow="1" firstDataRow="2" firstDataCol="2"/>
  <pivotFields count="19">
    <pivotField compact="0" numFmtId="14" outline="0" showAll="0" defaultSubtotal="0">
      <items count="179">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s>
      <extLst>
        <ext xmlns:x14="http://schemas.microsoft.com/office/spreadsheetml/2009/9/main" uri="{2946ED86-A175-432a-8AC1-64E0C546D7DE}">
          <x14:pivotField fillDownLabels="1"/>
        </ext>
      </extLst>
    </pivotField>
    <pivotField compact="0" outline="0" showAll="0" defaultSubtotal="0">
      <items count="7">
        <item x="6"/>
        <item x="1"/>
        <item x="2"/>
        <item x="3"/>
        <item x="4"/>
        <item x="5"/>
        <item x="0"/>
      </items>
      <extLst>
        <ext xmlns:x14="http://schemas.microsoft.com/office/spreadsheetml/2009/9/main" uri="{2946ED86-A175-432a-8AC1-64E0C546D7DE}">
          <x14:pivotField fillDownLabels="1"/>
        </ext>
      </extLst>
    </pivotField>
    <pivotField axis="axisRow" compact="0" outline="0" showAll="0" sortType="ascending" defaultSubtotal="0">
      <items count="7">
        <item x="6"/>
        <item x="0"/>
        <item x="1"/>
        <item x="3"/>
        <item x="5"/>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4"/>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2"/>
        <item x="0"/>
        <item x="1"/>
        <item x="5"/>
        <item x="6"/>
        <item x="3"/>
        <item x="4"/>
        <item x="7"/>
      </items>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8">
        <item x="5"/>
        <item x="7"/>
        <item x="0"/>
        <item x="2"/>
        <item x="4"/>
        <item x="3"/>
        <item x="1"/>
        <item x="6"/>
      </items>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 dataField="1" compact="0" numFmtId="9"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2"/>
    <field x="10"/>
  </rowFields>
  <rowItems count="56">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i>
      <x v="3"/>
      <x/>
    </i>
    <i r="1">
      <x v="1"/>
    </i>
    <i r="1">
      <x v="2"/>
    </i>
    <i r="1">
      <x v="3"/>
    </i>
    <i r="1">
      <x v="4"/>
    </i>
    <i r="1">
      <x v="5"/>
    </i>
    <i r="1">
      <x v="6"/>
    </i>
    <i r="1">
      <x v="7"/>
    </i>
    <i>
      <x v="4"/>
      <x/>
    </i>
    <i r="1">
      <x v="1"/>
    </i>
    <i r="1">
      <x v="2"/>
    </i>
    <i r="1">
      <x v="3"/>
    </i>
    <i r="1">
      <x v="4"/>
    </i>
    <i r="1">
      <x v="5"/>
    </i>
    <i r="1">
      <x v="6"/>
    </i>
    <i r="1">
      <x v="7"/>
    </i>
    <i>
      <x v="5"/>
      <x/>
    </i>
    <i r="1">
      <x v="1"/>
    </i>
    <i r="1">
      <x v="2"/>
    </i>
    <i r="1">
      <x v="3"/>
    </i>
    <i r="1">
      <x v="4"/>
    </i>
    <i r="1">
      <x v="5"/>
    </i>
    <i r="1">
      <x v="6"/>
    </i>
    <i r="1">
      <x v="7"/>
    </i>
    <i>
      <x v="6"/>
      <x/>
    </i>
    <i r="1">
      <x v="1"/>
    </i>
    <i r="1">
      <x v="2"/>
    </i>
    <i r="1">
      <x v="3"/>
    </i>
    <i r="1">
      <x v="4"/>
    </i>
    <i r="1">
      <x v="5"/>
    </i>
    <i r="1">
      <x v="6"/>
    </i>
    <i r="1">
      <x v="7"/>
    </i>
  </rowItems>
  <colFields count="1">
    <field x="-2"/>
  </colFields>
  <colItems count="4">
    <i>
      <x/>
    </i>
    <i i="1">
      <x v="1"/>
    </i>
    <i i="2">
      <x v="2"/>
    </i>
    <i i="3">
      <x v="3"/>
    </i>
  </colItems>
  <dataFields count="4">
    <dataField name=" Monthly Sales" fld="11" subtotal="max" baseField="10" baseItem="0" numFmtId="164"/>
    <dataField name=" Monthly Target" fld="12" subtotal="max" baseField="10" baseItem="0" numFmtId="164"/>
    <dataField name=" Previous Month Sales" fld="14" subtotal="max" baseField="10" baseItem="0" numFmtId="164"/>
    <dataField name=" MoM Growth %" fld="15" subtotal="max" baseField="10" baseItem="0" numFmtId="9"/>
  </dataFields>
  <formats count="7">
    <format dxfId="6">
      <pivotArea field="-2" type="button" dataOnly="0" labelOnly="1" outline="0" axis="axisCol" fieldPosition="0"/>
    </format>
    <format dxfId="5">
      <pivotArea type="topRight" dataOnly="0" labelOnly="1" outline="0" fieldPosition="0"/>
    </format>
    <format dxfId="4">
      <pivotArea outline="0" fieldPosition="0">
        <references count="1">
          <reference field="4294967294" count="1">
            <x v="0"/>
          </reference>
        </references>
      </pivotArea>
    </format>
    <format dxfId="3">
      <pivotArea outline="0" fieldPosition="0">
        <references count="1">
          <reference field="4294967294" count="1">
            <x v="1"/>
          </reference>
        </references>
      </pivotArea>
    </format>
    <format dxfId="2">
      <pivotArea outline="0" fieldPosition="0">
        <references count="1">
          <reference field="4294967294" count="1">
            <x v="2"/>
          </reference>
        </references>
      </pivotArea>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1022AEE-3439-41E1-ACF8-75316967EFB7}" sourceName="Product">
  <pivotTables>
    <pivotTable tabId="2" name="Weekly Performance"/>
    <pivotTable tabId="2" name="Daily Sales Trend"/>
    <pivotTable tabId="2" name="Growing vs Degrowing"/>
    <pivotTable tabId="2" name="Monthly Sales Trend"/>
    <pivotTable tabId="2" name="Sales Person Performance"/>
    <pivotTable tabId="2" name="PivotTable7"/>
  </pivotTables>
  <data>
    <tabular pivotCacheId="1648850702">
      <items count="7">
        <i x="6" s="1"/>
        <i x="1" s="1"/>
        <i x="2" s="1"/>
        <i x="3" s="1"/>
        <i x="4"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F26474EF-F40B-4582-AEB0-BC53E21C5D82}" sourceName="Sales Person">
  <pivotTables>
    <pivotTable tabId="2" name="Weekly Performance"/>
    <pivotTable tabId="2" name="Daily Sales Trend"/>
    <pivotTable tabId="2" name="Growing vs Degrowing"/>
    <pivotTable tabId="2" name="Monthly Sales Trend"/>
    <pivotTable tabId="2" name="Sales Person Performance"/>
    <pivotTable tabId="2" name="PivotTable7"/>
  </pivotTables>
  <data>
    <tabular pivotCacheId="1648850702">
      <items count="7">
        <i x="6" s="1"/>
        <i x="0" s="1"/>
        <i x="1" s="1"/>
        <i x="3" s="1"/>
        <i x="5"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02AD76C-DE93-47AA-96FF-F8AC67EF2DD3}" sourceName="Country">
  <pivotTables>
    <pivotTable tabId="2" name="Weekly Performance"/>
    <pivotTable tabId="2" name="Daily Sales Trend"/>
    <pivotTable tabId="2" name="Growing vs Degrowing"/>
    <pivotTable tabId="2" name="Monthly Sales Trend"/>
    <pivotTable tabId="2" name="Sales Person Performance"/>
    <pivotTable tabId="2" name="PivotTable7"/>
  </pivotTables>
  <data>
    <tabular pivotCacheId="1648850702">
      <items count="5">
        <i x="0" s="1"/>
        <i x="1" s="1"/>
        <i x="4"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B1F1F18-0A22-44C1-88E1-C9D7588DF075}" sourceName="Month">
  <pivotTables>
    <pivotTable tabId="2" name="Weekly Performance"/>
    <pivotTable tabId="2" name="Daily Sales Trend"/>
    <pivotTable tabId="2" name="Growing vs Degrowing"/>
    <pivotTable tabId="2" name="Monthly Sales Trend"/>
    <pivotTable tabId="2" name="Sales Person Performance"/>
    <pivotTable tabId="2" name="PivotTable7"/>
  </pivotTables>
  <data>
    <tabular pivotCacheId="1648850702">
      <items count="8">
        <i x="2" s="1"/>
        <i x="0" s="1"/>
        <i x="1" s="1"/>
        <i x="5" s="1"/>
        <i x="6" s="1"/>
        <i x="3"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7AC51A9-DACC-4BB8-8D04-B66832885FDA}" cache="Slicer_Product" caption="Product" startItem="1" rowHeight="180000"/>
  <slicer name="Sales Person" xr10:uid="{113B14BB-BC5A-471E-8787-55DE6B5580DD}" cache="Slicer_Sales_Person" caption="Sales Person" startItem="1" rowHeight="180000"/>
  <slicer name="Country" xr10:uid="{63A24DEC-1553-4589-9726-D05348A0BC3F}" cache="Slicer_Country" caption="Country" rowHeight="180000"/>
  <slicer name="Month" xr10:uid="{EDAF584D-A61B-4279-96AC-6A52F3050432}" cache="Slicer_Month" caption="Month"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AB2BE-A88E-4E92-B71C-D7EEE272C45C}">
  <dimension ref="A1:L3"/>
  <sheetViews>
    <sheetView workbookViewId="0">
      <selection activeCell="K11" sqref="K11"/>
    </sheetView>
  </sheetViews>
  <sheetFormatPr defaultRowHeight="14.4"/>
  <sheetData>
    <row r="1" spans="1:12">
      <c r="A1" s="22" t="s">
        <v>44</v>
      </c>
      <c r="B1" s="22"/>
      <c r="C1" s="22"/>
      <c r="D1" s="22" t="s">
        <v>45</v>
      </c>
      <c r="E1" s="22"/>
      <c r="F1" s="22"/>
      <c r="G1" s="22" t="s">
        <v>30</v>
      </c>
      <c r="H1" s="22"/>
      <c r="I1" s="22"/>
      <c r="J1" s="22" t="s">
        <v>46</v>
      </c>
      <c r="K1" s="22"/>
      <c r="L1" s="22"/>
    </row>
    <row r="2" spans="1:12">
      <c r="A2" s="22"/>
      <c r="B2" s="22"/>
      <c r="C2" s="22"/>
      <c r="D2" s="22"/>
      <c r="E2" s="22"/>
      <c r="F2" s="22"/>
      <c r="G2" s="22"/>
      <c r="H2" s="22"/>
      <c r="I2" s="22"/>
      <c r="J2" s="22"/>
      <c r="K2" s="22"/>
      <c r="L2" s="22"/>
    </row>
    <row r="3" spans="1:12">
      <c r="A3" s="22"/>
      <c r="B3" s="22"/>
      <c r="C3" s="22"/>
      <c r="D3" s="22"/>
      <c r="E3" s="22"/>
      <c r="F3" s="22"/>
      <c r="G3" s="22"/>
      <c r="H3" s="22"/>
      <c r="I3" s="22"/>
      <c r="J3" s="22"/>
      <c r="K3" s="22"/>
      <c r="L3" s="22"/>
    </row>
  </sheetData>
  <mergeCells count="4">
    <mergeCell ref="A1:C3"/>
    <mergeCell ref="D1:F3"/>
    <mergeCell ref="G1:I3"/>
    <mergeCell ref="J1:L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96559-1BC1-4D3C-A668-575244770D60}">
  <dimension ref="A1"/>
  <sheetViews>
    <sheetView showGridLines="0" tabSelected="1" zoomScaleNormal="100" workbookViewId="0">
      <selection activeCell="X12" sqref="X12"/>
    </sheetView>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EE5A-7C75-4FF5-B7B8-3893B04A6C5C}">
  <dimension ref="A1:R207"/>
  <sheetViews>
    <sheetView showGridLines="0" zoomScale="85" zoomScaleNormal="85" workbookViewId="0">
      <selection activeCell="E11" sqref="E11"/>
    </sheetView>
  </sheetViews>
  <sheetFormatPr defaultRowHeight="14.4"/>
  <cols>
    <col min="1" max="2" width="16.88671875" bestFit="1" customWidth="1"/>
    <col min="3" max="3" width="13.88671875" style="12" bestFit="1" customWidth="1"/>
    <col min="4" max="4" width="7.44140625" style="12" customWidth="1"/>
    <col min="5" max="5" width="19.6640625" style="12" bestFit="1" customWidth="1"/>
    <col min="6" max="10" width="19.6640625" style="12" customWidth="1"/>
    <col min="11" max="11" width="14.109375" style="12" bestFit="1" customWidth="1"/>
    <col min="12" max="12" width="4.21875" customWidth="1"/>
    <col min="13" max="13" width="16.88671875" bestFit="1" customWidth="1"/>
    <col min="14" max="14" width="6.6640625" bestFit="1" customWidth="1"/>
    <col min="15" max="15" width="4.5546875" customWidth="1"/>
    <col min="16" max="16" width="19.6640625" customWidth="1"/>
    <col min="17" max="17" width="14.44140625" bestFit="1" customWidth="1"/>
    <col min="18" max="18" width="9.77734375" bestFit="1" customWidth="1"/>
  </cols>
  <sheetData>
    <row r="1" spans="1:17">
      <c r="B1" s="13" t="s">
        <v>29</v>
      </c>
      <c r="D1"/>
      <c r="E1" s="18" t="s">
        <v>68</v>
      </c>
      <c r="F1" s="18" t="s">
        <v>69</v>
      </c>
      <c r="G1"/>
      <c r="H1"/>
      <c r="I1"/>
      <c r="J1"/>
      <c r="K1"/>
      <c r="M1" s="9" t="s">
        <v>39</v>
      </c>
      <c r="P1" s="9" t="s">
        <v>39</v>
      </c>
    </row>
    <row r="2" spans="1:17">
      <c r="B2" t="s">
        <v>39</v>
      </c>
      <c r="C2" s="10" t="s">
        <v>63</v>
      </c>
      <c r="D2"/>
      <c r="E2" s="19" t="s">
        <v>44</v>
      </c>
      <c r="F2" s="19">
        <f>GETPIVOTDATA("Sum of Amount ($)",$A$1)</f>
        <v>58929.289999999957</v>
      </c>
      <c r="G2"/>
      <c r="H2"/>
      <c r="I2"/>
      <c r="J2"/>
      <c r="K2"/>
      <c r="M2" s="9" t="s">
        <v>0</v>
      </c>
      <c r="N2" t="s">
        <v>28</v>
      </c>
      <c r="P2" s="9" t="s">
        <v>2</v>
      </c>
      <c r="Q2" t="s">
        <v>28</v>
      </c>
    </row>
    <row r="3" spans="1:17">
      <c r="A3" t="s">
        <v>28</v>
      </c>
      <c r="B3" s="17">
        <v>58929.289999999957</v>
      </c>
      <c r="C3" s="14">
        <v>7783.74</v>
      </c>
      <c r="D3"/>
      <c r="E3" s="19" t="s">
        <v>70</v>
      </c>
      <c r="F3" s="19">
        <f>GETPIVOTDATA(" Monthly Target",$A$1)</f>
        <v>7783.74</v>
      </c>
      <c r="G3"/>
      <c r="H3"/>
      <c r="I3"/>
      <c r="J3"/>
      <c r="K3"/>
      <c r="M3" s="1">
        <v>44563</v>
      </c>
      <c r="N3" s="11">
        <v>244.41000000000003</v>
      </c>
      <c r="P3" t="s">
        <v>20</v>
      </c>
      <c r="Q3" s="11">
        <v>6486.45</v>
      </c>
    </row>
    <row r="4" spans="1:17">
      <c r="C4"/>
      <c r="D4"/>
      <c r="E4" s="19" t="s">
        <v>45</v>
      </c>
      <c r="F4" s="21">
        <f>GETPIVOTDATA("Sum of Amount ($)",$A$1)/GETPIVOTDATA(" Monthly Target",$A$1)</f>
        <v>7.5708194261370449</v>
      </c>
      <c r="G4"/>
      <c r="H4"/>
      <c r="I4"/>
      <c r="J4"/>
      <c r="K4"/>
      <c r="M4" s="1">
        <v>44566</v>
      </c>
      <c r="N4" s="11">
        <v>247.43</v>
      </c>
      <c r="P4" t="s">
        <v>7</v>
      </c>
      <c r="Q4" s="11">
        <v>6896.1499999999987</v>
      </c>
    </row>
    <row r="5" spans="1:17">
      <c r="C5"/>
      <c r="D5"/>
      <c r="E5" s="19" t="s">
        <v>71</v>
      </c>
      <c r="F5" s="20">
        <v>7</v>
      </c>
      <c r="G5"/>
      <c r="H5"/>
      <c r="I5"/>
      <c r="J5"/>
      <c r="K5"/>
      <c r="M5" s="1">
        <v>44567</v>
      </c>
      <c r="N5" s="11">
        <v>54.15</v>
      </c>
      <c r="P5" t="s">
        <v>24</v>
      </c>
      <c r="Q5" s="11">
        <v>7039.07</v>
      </c>
    </row>
    <row r="6" spans="1:17">
      <c r="C6"/>
      <c r="D6"/>
      <c r="E6" s="19" t="s">
        <v>72</v>
      </c>
      <c r="F6" s="19" t="s">
        <v>73</v>
      </c>
      <c r="G6"/>
      <c r="H6"/>
      <c r="I6"/>
      <c r="J6"/>
      <c r="K6"/>
      <c r="M6" s="1">
        <v>44568</v>
      </c>
      <c r="N6" s="11">
        <v>756.15</v>
      </c>
      <c r="P6" t="s">
        <v>13</v>
      </c>
      <c r="Q6" s="11">
        <v>7945.9699999999993</v>
      </c>
    </row>
    <row r="7" spans="1:17" ht="28.8">
      <c r="C7"/>
      <c r="D7"/>
      <c r="E7" s="19" t="s">
        <v>53</v>
      </c>
      <c r="F7" s="19" t="s">
        <v>74</v>
      </c>
      <c r="G7"/>
      <c r="H7"/>
      <c r="I7"/>
      <c r="J7"/>
      <c r="K7"/>
      <c r="M7" s="1">
        <v>44569</v>
      </c>
      <c r="N7" s="11">
        <v>392.8</v>
      </c>
      <c r="P7" t="s">
        <v>19</v>
      </c>
      <c r="Q7" s="11">
        <v>9121.7800000000043</v>
      </c>
    </row>
    <row r="8" spans="1:17">
      <c r="C8"/>
      <c r="D8"/>
      <c r="E8"/>
      <c r="F8"/>
      <c r="G8"/>
      <c r="H8"/>
      <c r="I8"/>
      <c r="J8"/>
      <c r="K8"/>
      <c r="M8" s="1">
        <v>44571</v>
      </c>
      <c r="N8" s="11">
        <v>328.78</v>
      </c>
      <c r="P8" t="s">
        <v>10</v>
      </c>
      <c r="Q8" s="11">
        <v>10416.34</v>
      </c>
    </row>
    <row r="9" spans="1:17">
      <c r="A9" s="9" t="s">
        <v>39</v>
      </c>
      <c r="C9"/>
      <c r="D9"/>
      <c r="H9"/>
      <c r="I9"/>
      <c r="J9"/>
      <c r="K9"/>
      <c r="M9" s="1">
        <v>44572</v>
      </c>
      <c r="N9" s="11">
        <v>210.77</v>
      </c>
      <c r="P9" t="s">
        <v>23</v>
      </c>
      <c r="Q9" s="11">
        <v>11023.530000000002</v>
      </c>
    </row>
    <row r="10" spans="1:17">
      <c r="A10" s="9" t="s">
        <v>2</v>
      </c>
      <c r="B10" t="s">
        <v>28</v>
      </c>
      <c r="C10"/>
      <c r="D10"/>
      <c r="H10"/>
      <c r="I10"/>
      <c r="J10"/>
      <c r="K10"/>
      <c r="M10" s="1">
        <v>44574</v>
      </c>
      <c r="N10" s="11">
        <v>674.27</v>
      </c>
    </row>
    <row r="11" spans="1:17">
      <c r="A11" t="s">
        <v>23</v>
      </c>
      <c r="B11" s="11">
        <v>11023.530000000002</v>
      </c>
      <c r="C11"/>
      <c r="D11"/>
      <c r="H11"/>
      <c r="I11"/>
      <c r="J11"/>
      <c r="K11"/>
      <c r="M11" s="1">
        <v>44575</v>
      </c>
      <c r="N11" s="11">
        <v>289.57</v>
      </c>
      <c r="P11" s="9" t="s">
        <v>40</v>
      </c>
    </row>
    <row r="12" spans="1:17">
      <c r="A12" t="s">
        <v>10</v>
      </c>
      <c r="B12" s="11">
        <v>10416.34</v>
      </c>
      <c r="C12"/>
      <c r="D12"/>
      <c r="H12"/>
      <c r="I12"/>
      <c r="J12"/>
      <c r="K12"/>
      <c r="M12" s="1">
        <v>44576</v>
      </c>
      <c r="N12" s="11">
        <v>211.91</v>
      </c>
      <c r="P12" s="9" t="s">
        <v>27</v>
      </c>
      <c r="Q12" t="s">
        <v>28</v>
      </c>
    </row>
    <row r="13" spans="1:17">
      <c r="A13" t="s">
        <v>19</v>
      </c>
      <c r="B13" s="11">
        <v>9121.7800000000043</v>
      </c>
      <c r="C13"/>
      <c r="D13"/>
      <c r="H13"/>
      <c r="I13"/>
      <c r="J13"/>
      <c r="K13"/>
      <c r="M13" s="1">
        <v>44577</v>
      </c>
      <c r="N13" s="11">
        <v>27.98</v>
      </c>
      <c r="P13" t="s">
        <v>41</v>
      </c>
      <c r="Q13">
        <v>107</v>
      </c>
    </row>
    <row r="14" spans="1:17">
      <c r="A14" t="s">
        <v>13</v>
      </c>
      <c r="B14" s="11">
        <v>7945.9699999999993</v>
      </c>
      <c r="C14"/>
      <c r="D14"/>
      <c r="H14"/>
      <c r="I14"/>
      <c r="J14"/>
      <c r="K14"/>
      <c r="M14" s="1">
        <v>44578</v>
      </c>
      <c r="N14" s="11">
        <v>147.72999999999999</v>
      </c>
      <c r="P14" t="s">
        <v>42</v>
      </c>
      <c r="Q14">
        <v>194</v>
      </c>
    </row>
    <row r="15" spans="1:17">
      <c r="A15" t="s">
        <v>24</v>
      </c>
      <c r="B15" s="11">
        <v>7039.07</v>
      </c>
      <c r="C15"/>
      <c r="D15"/>
      <c r="H15"/>
      <c r="I15"/>
      <c r="J15"/>
      <c r="K15"/>
      <c r="M15" s="1">
        <v>44579</v>
      </c>
      <c r="N15" s="11">
        <v>225.25</v>
      </c>
      <c r="P15" t="s">
        <v>43</v>
      </c>
      <c r="Q15">
        <v>32</v>
      </c>
    </row>
    <row r="16" spans="1:17">
      <c r="A16" t="s">
        <v>7</v>
      </c>
      <c r="B16" s="11">
        <v>6896.1499999999987</v>
      </c>
      <c r="C16"/>
      <c r="D16"/>
      <c r="H16"/>
      <c r="I16"/>
      <c r="J16"/>
      <c r="K16"/>
      <c r="M16" s="1">
        <v>44580</v>
      </c>
      <c r="N16" s="11">
        <v>656.04</v>
      </c>
    </row>
    <row r="17" spans="1:18">
      <c r="A17" t="s">
        <v>20</v>
      </c>
      <c r="B17" s="11">
        <v>6486.45</v>
      </c>
      <c r="C17"/>
      <c r="D17"/>
      <c r="H17"/>
      <c r="I17"/>
      <c r="J17"/>
      <c r="K17"/>
      <c r="M17" s="1">
        <v>44582</v>
      </c>
      <c r="N17" s="11">
        <v>180.5</v>
      </c>
      <c r="P17" s="9" t="s">
        <v>39</v>
      </c>
    </row>
    <row r="18" spans="1:18">
      <c r="C18"/>
      <c r="D18"/>
      <c r="H18"/>
      <c r="I18"/>
      <c r="J18"/>
      <c r="K18"/>
      <c r="M18" s="1">
        <v>44583</v>
      </c>
      <c r="N18" s="11">
        <v>68.209999999999994</v>
      </c>
      <c r="P18" s="9" t="s">
        <v>26</v>
      </c>
      <c r="Q18" t="s">
        <v>28</v>
      </c>
    </row>
    <row r="19" spans="1:18">
      <c r="C19"/>
      <c r="D19"/>
      <c r="H19"/>
      <c r="I19"/>
      <c r="J19"/>
      <c r="K19"/>
      <c r="M19" s="1">
        <v>44585</v>
      </c>
      <c r="N19" s="11">
        <v>89.29</v>
      </c>
      <c r="P19" t="s">
        <v>31</v>
      </c>
      <c r="Q19" s="11">
        <v>5536.3900000000012</v>
      </c>
    </row>
    <row r="20" spans="1:18">
      <c r="A20" s="9" t="s">
        <v>67</v>
      </c>
      <c r="C20"/>
      <c r="D20"/>
      <c r="H20"/>
      <c r="I20"/>
      <c r="J20"/>
      <c r="K20"/>
      <c r="M20" s="1">
        <v>44587</v>
      </c>
      <c r="N20" s="11">
        <v>141.91999999999999</v>
      </c>
      <c r="P20" t="s">
        <v>32</v>
      </c>
      <c r="Q20" s="11">
        <v>7451.5000000000009</v>
      </c>
    </row>
    <row r="21" spans="1:18">
      <c r="A21" s="9" t="s">
        <v>49</v>
      </c>
      <c r="B21" s="9" t="s">
        <v>27</v>
      </c>
      <c r="C21" t="s">
        <v>28</v>
      </c>
      <c r="D21"/>
      <c r="H21"/>
      <c r="I21"/>
      <c r="J21"/>
      <c r="K21"/>
      <c r="M21" s="1">
        <v>44588</v>
      </c>
      <c r="N21" s="11">
        <v>192.17000000000002</v>
      </c>
      <c r="P21" t="s">
        <v>33</v>
      </c>
      <c r="Q21" s="11">
        <v>7062.15</v>
      </c>
    </row>
    <row r="22" spans="1:18">
      <c r="A22" t="s">
        <v>54</v>
      </c>
      <c r="B22" t="s">
        <v>41</v>
      </c>
      <c r="C22">
        <v>3</v>
      </c>
      <c r="D22"/>
      <c r="H22"/>
      <c r="I22"/>
      <c r="J22"/>
      <c r="K22"/>
      <c r="M22" s="1">
        <v>44589</v>
      </c>
      <c r="N22" s="11">
        <v>65.17</v>
      </c>
      <c r="P22" t="s">
        <v>34</v>
      </c>
      <c r="Q22" s="11">
        <v>7339.1499999999987</v>
      </c>
    </row>
    <row r="23" spans="1:18">
      <c r="A23" t="s">
        <v>54</v>
      </c>
      <c r="B23" t="s">
        <v>42</v>
      </c>
      <c r="C23">
        <v>4</v>
      </c>
      <c r="D23"/>
      <c r="H23"/>
      <c r="I23"/>
      <c r="J23"/>
      <c r="K23"/>
      <c r="M23" s="1">
        <v>44590</v>
      </c>
      <c r="N23" s="11">
        <v>176.73</v>
      </c>
      <c r="P23" t="s">
        <v>35</v>
      </c>
      <c r="Q23" s="11">
        <v>8884.9999999999982</v>
      </c>
    </row>
    <row r="24" spans="1:18">
      <c r="A24" t="s">
        <v>55</v>
      </c>
      <c r="B24" t="s">
        <v>41</v>
      </c>
      <c r="C24">
        <v>4</v>
      </c>
      <c r="D24"/>
      <c r="H24"/>
      <c r="I24"/>
      <c r="J24"/>
      <c r="K24"/>
      <c r="M24" s="1">
        <v>44592</v>
      </c>
      <c r="N24" s="11">
        <v>155.16</v>
      </c>
      <c r="P24" t="s">
        <v>36</v>
      </c>
      <c r="Q24" s="11">
        <v>7019.5599999999995</v>
      </c>
    </row>
    <row r="25" spans="1:18">
      <c r="A25" t="s">
        <v>55</v>
      </c>
      <c r="B25" t="s">
        <v>42</v>
      </c>
      <c r="C25">
        <v>3</v>
      </c>
      <c r="D25"/>
      <c r="H25"/>
      <c r="I25"/>
      <c r="J25"/>
      <c r="K25"/>
      <c r="M25" s="1">
        <v>44593</v>
      </c>
      <c r="N25" s="11">
        <v>202.9</v>
      </c>
      <c r="P25" t="s">
        <v>37</v>
      </c>
      <c r="Q25" s="11">
        <v>8754.4399999999987</v>
      </c>
    </row>
    <row r="26" spans="1:18">
      <c r="A26" t="s">
        <v>56</v>
      </c>
      <c r="B26" t="s">
        <v>41</v>
      </c>
      <c r="C26">
        <v>3</v>
      </c>
      <c r="D26"/>
      <c r="E26"/>
      <c r="F26"/>
      <c r="G26"/>
      <c r="H26"/>
      <c r="I26"/>
      <c r="J26"/>
      <c r="K26"/>
      <c r="M26" s="1">
        <v>44594</v>
      </c>
      <c r="N26" s="11">
        <v>88.26</v>
      </c>
      <c r="P26" t="s">
        <v>38</v>
      </c>
      <c r="Q26" s="11">
        <v>6881.0999999999976</v>
      </c>
    </row>
    <row r="27" spans="1:18">
      <c r="A27" t="s">
        <v>56</v>
      </c>
      <c r="B27" t="s">
        <v>42</v>
      </c>
      <c r="C27">
        <v>4</v>
      </c>
      <c r="D27"/>
      <c r="E27"/>
      <c r="F27"/>
      <c r="G27"/>
      <c r="H27"/>
      <c r="I27"/>
      <c r="J27"/>
      <c r="K27"/>
      <c r="M27" s="1">
        <v>44595</v>
      </c>
      <c r="N27" s="11">
        <v>602.98</v>
      </c>
    </row>
    <row r="28" spans="1:18">
      <c r="A28" t="s">
        <v>57</v>
      </c>
      <c r="B28" t="s">
        <v>43</v>
      </c>
      <c r="C28">
        <v>7</v>
      </c>
      <c r="D28"/>
      <c r="E28"/>
      <c r="F28"/>
      <c r="G28"/>
      <c r="H28"/>
      <c r="I28"/>
      <c r="J28"/>
      <c r="K28"/>
      <c r="M28" s="1">
        <v>44597</v>
      </c>
      <c r="N28" s="11">
        <v>951.04</v>
      </c>
      <c r="P28" t="s">
        <v>67</v>
      </c>
    </row>
    <row r="29" spans="1:18">
      <c r="A29" t="s">
        <v>58</v>
      </c>
      <c r="B29" t="s">
        <v>41</v>
      </c>
      <c r="C29">
        <v>2</v>
      </c>
      <c r="D29"/>
      <c r="E29"/>
      <c r="F29"/>
      <c r="G29"/>
      <c r="H29"/>
      <c r="I29"/>
      <c r="J29"/>
      <c r="K29"/>
      <c r="M29" s="1">
        <v>44598</v>
      </c>
      <c r="N29" s="11">
        <v>67.430000000000007</v>
      </c>
      <c r="P29" t="s">
        <v>26</v>
      </c>
      <c r="Q29" t="s">
        <v>27</v>
      </c>
      <c r="R29" t="s">
        <v>28</v>
      </c>
    </row>
    <row r="30" spans="1:18">
      <c r="A30" t="s">
        <v>58</v>
      </c>
      <c r="B30" t="s">
        <v>42</v>
      </c>
      <c r="C30">
        <v>5</v>
      </c>
      <c r="D30"/>
      <c r="E30"/>
      <c r="F30"/>
      <c r="G30"/>
      <c r="H30"/>
      <c r="I30"/>
      <c r="J30"/>
      <c r="K30"/>
      <c r="M30" s="1">
        <v>44600</v>
      </c>
      <c r="N30" s="11">
        <v>924.76</v>
      </c>
      <c r="P30" t="s">
        <v>31</v>
      </c>
      <c r="Q30" t="s">
        <v>43</v>
      </c>
      <c r="R30">
        <v>7</v>
      </c>
    </row>
    <row r="31" spans="1:18">
      <c r="A31" t="s">
        <v>59</v>
      </c>
      <c r="B31" t="s">
        <v>41</v>
      </c>
      <c r="C31">
        <v>4</v>
      </c>
      <c r="D31"/>
      <c r="E31"/>
      <c r="F31"/>
      <c r="G31"/>
      <c r="H31"/>
      <c r="I31"/>
      <c r="J31"/>
      <c r="K31"/>
      <c r="M31" s="1">
        <v>44601</v>
      </c>
      <c r="N31" s="11">
        <v>734.92000000000007</v>
      </c>
      <c r="P31" t="s">
        <v>32</v>
      </c>
      <c r="Q31" t="s">
        <v>41</v>
      </c>
      <c r="R31">
        <v>3</v>
      </c>
    </row>
    <row r="32" spans="1:18">
      <c r="A32" t="s">
        <v>59</v>
      </c>
      <c r="B32" t="s">
        <v>42</v>
      </c>
      <c r="C32">
        <v>3</v>
      </c>
      <c r="D32"/>
      <c r="E32"/>
      <c r="F32"/>
      <c r="G32"/>
      <c r="H32"/>
      <c r="I32"/>
      <c r="J32"/>
      <c r="K32"/>
      <c r="M32" s="1">
        <v>44603</v>
      </c>
      <c r="N32" s="11">
        <v>931.31999999999994</v>
      </c>
      <c r="P32" t="s">
        <v>32</v>
      </c>
      <c r="Q32" t="s">
        <v>42</v>
      </c>
      <c r="R32">
        <v>4</v>
      </c>
    </row>
    <row r="33" spans="1:18">
      <c r="A33" t="s">
        <v>60</v>
      </c>
      <c r="B33" t="s">
        <v>41</v>
      </c>
      <c r="C33">
        <v>4</v>
      </c>
      <c r="D33"/>
      <c r="E33"/>
      <c r="F33"/>
      <c r="G33"/>
      <c r="H33"/>
      <c r="I33"/>
      <c r="J33"/>
      <c r="K33"/>
      <c r="M33" s="1">
        <v>44604</v>
      </c>
      <c r="N33" s="11">
        <v>290.45</v>
      </c>
      <c r="P33" t="s">
        <v>33</v>
      </c>
      <c r="Q33" t="s">
        <v>41</v>
      </c>
      <c r="R33">
        <v>4</v>
      </c>
    </row>
    <row r="34" spans="1:18">
      <c r="A34" t="s">
        <v>60</v>
      </c>
      <c r="B34" t="s">
        <v>42</v>
      </c>
      <c r="C34">
        <v>3</v>
      </c>
      <c r="D34"/>
      <c r="E34"/>
      <c r="F34"/>
      <c r="G34"/>
      <c r="H34"/>
      <c r="I34"/>
      <c r="J34"/>
      <c r="K34"/>
      <c r="M34" s="1">
        <v>44605</v>
      </c>
      <c r="N34" s="11">
        <v>446.41999999999996</v>
      </c>
      <c r="P34" t="s">
        <v>33</v>
      </c>
      <c r="Q34" t="s">
        <v>42</v>
      </c>
      <c r="R34">
        <v>3</v>
      </c>
    </row>
    <row r="35" spans="1:18">
      <c r="A35" t="s">
        <v>61</v>
      </c>
      <c r="B35" t="s">
        <v>41</v>
      </c>
      <c r="C35">
        <v>3</v>
      </c>
      <c r="D35"/>
      <c r="E35"/>
      <c r="F35"/>
      <c r="G35"/>
      <c r="H35"/>
      <c r="I35"/>
      <c r="J35"/>
      <c r="K35"/>
      <c r="M35" s="1">
        <v>44606</v>
      </c>
      <c r="N35" s="11">
        <v>336.15000000000003</v>
      </c>
      <c r="P35" t="s">
        <v>34</v>
      </c>
      <c r="Q35" t="s">
        <v>41</v>
      </c>
      <c r="R35">
        <v>3</v>
      </c>
    </row>
    <row r="36" spans="1:18">
      <c r="A36" t="s">
        <v>61</v>
      </c>
      <c r="B36" t="s">
        <v>42</v>
      </c>
      <c r="C36">
        <v>4</v>
      </c>
      <c r="D36"/>
      <c r="E36"/>
      <c r="F36"/>
      <c r="G36"/>
      <c r="H36"/>
      <c r="I36"/>
      <c r="J36"/>
      <c r="K36"/>
      <c r="M36" s="1">
        <v>44608</v>
      </c>
      <c r="N36" s="11">
        <v>129.05000000000001</v>
      </c>
      <c r="P36" t="s">
        <v>34</v>
      </c>
      <c r="Q36" t="s">
        <v>42</v>
      </c>
      <c r="R36">
        <v>4</v>
      </c>
    </row>
    <row r="37" spans="1:18">
      <c r="C37"/>
      <c r="D37"/>
      <c r="E37"/>
      <c r="F37"/>
      <c r="G37"/>
      <c r="H37"/>
      <c r="I37"/>
      <c r="J37"/>
      <c r="K37"/>
      <c r="M37" s="1">
        <v>44610</v>
      </c>
      <c r="N37" s="11">
        <v>136.5</v>
      </c>
      <c r="P37" t="s">
        <v>35</v>
      </c>
      <c r="Q37" t="s">
        <v>41</v>
      </c>
      <c r="R37">
        <v>3</v>
      </c>
    </row>
    <row r="38" spans="1:18">
      <c r="C38"/>
      <c r="D38"/>
      <c r="E38"/>
      <c r="F38"/>
      <c r="G38"/>
      <c r="H38"/>
      <c r="I38"/>
      <c r="J38"/>
      <c r="K38"/>
      <c r="M38" s="1">
        <v>44611</v>
      </c>
      <c r="N38" s="11">
        <v>48.25</v>
      </c>
      <c r="P38" t="s">
        <v>35</v>
      </c>
      <c r="Q38" t="s">
        <v>42</v>
      </c>
      <c r="R38">
        <v>4</v>
      </c>
    </row>
    <row r="39" spans="1:18">
      <c r="C39"/>
      <c r="D39"/>
      <c r="E39"/>
      <c r="F39"/>
      <c r="G39"/>
      <c r="H39"/>
      <c r="I39"/>
      <c r="J39"/>
      <c r="K39"/>
      <c r="M39" s="1">
        <v>44612</v>
      </c>
      <c r="N39" s="11">
        <v>276.45999999999998</v>
      </c>
      <c r="P39" t="s">
        <v>36</v>
      </c>
      <c r="Q39" t="s">
        <v>41</v>
      </c>
      <c r="R39">
        <v>4</v>
      </c>
    </row>
    <row r="40" spans="1:18">
      <c r="C40"/>
      <c r="D40"/>
      <c r="E40"/>
      <c r="F40"/>
      <c r="G40"/>
      <c r="H40"/>
      <c r="I40"/>
      <c r="J40"/>
      <c r="K40"/>
      <c r="M40" s="1">
        <v>44613</v>
      </c>
      <c r="N40" s="11">
        <v>608.76</v>
      </c>
      <c r="P40" t="s">
        <v>36</v>
      </c>
      <c r="Q40" t="s">
        <v>42</v>
      </c>
      <c r="R40">
        <v>3</v>
      </c>
    </row>
    <row r="41" spans="1:18">
      <c r="C41"/>
      <c r="D41"/>
      <c r="E41"/>
      <c r="F41"/>
      <c r="G41"/>
      <c r="H41"/>
      <c r="I41"/>
      <c r="J41"/>
      <c r="K41"/>
      <c r="M41" s="1">
        <v>44615</v>
      </c>
      <c r="N41" s="11">
        <v>127.61</v>
      </c>
      <c r="P41" t="s">
        <v>37</v>
      </c>
      <c r="Q41" t="s">
        <v>41</v>
      </c>
      <c r="R41">
        <v>2</v>
      </c>
    </row>
    <row r="42" spans="1:18">
      <c r="C42"/>
      <c r="D42"/>
      <c r="E42"/>
      <c r="F42"/>
      <c r="G42"/>
      <c r="H42"/>
      <c r="I42"/>
      <c r="J42"/>
      <c r="K42"/>
      <c r="M42" s="1">
        <v>44617</v>
      </c>
      <c r="N42" s="11">
        <v>273.35000000000002</v>
      </c>
      <c r="P42" t="s">
        <v>37</v>
      </c>
      <c r="Q42" t="s">
        <v>42</v>
      </c>
      <c r="R42">
        <v>5</v>
      </c>
    </row>
    <row r="43" spans="1:18">
      <c r="C43"/>
      <c r="D43"/>
      <c r="E43"/>
      <c r="F43"/>
      <c r="G43"/>
      <c r="H43"/>
      <c r="I43"/>
      <c r="J43"/>
      <c r="K43"/>
      <c r="M43" s="1">
        <v>44619</v>
      </c>
      <c r="N43" s="11">
        <v>89.41</v>
      </c>
      <c r="P43" t="s">
        <v>38</v>
      </c>
      <c r="Q43" t="s">
        <v>41</v>
      </c>
      <c r="R43">
        <v>4</v>
      </c>
    </row>
    <row r="44" spans="1:18">
      <c r="C44"/>
      <c r="D44"/>
      <c r="E44"/>
      <c r="F44"/>
      <c r="G44"/>
      <c r="H44"/>
      <c r="I44"/>
      <c r="J44"/>
      <c r="K44"/>
      <c r="M44" s="1">
        <v>44620</v>
      </c>
      <c r="N44" s="11">
        <v>185.48</v>
      </c>
      <c r="P44" t="s">
        <v>38</v>
      </c>
      <c r="Q44" t="s">
        <v>42</v>
      </c>
      <c r="R44">
        <v>3</v>
      </c>
    </row>
    <row r="45" spans="1:18">
      <c r="C45"/>
      <c r="D45"/>
      <c r="E45"/>
      <c r="F45"/>
      <c r="G45"/>
      <c r="H45"/>
      <c r="I45"/>
      <c r="J45"/>
      <c r="K45"/>
      <c r="M45" s="1">
        <v>44622</v>
      </c>
      <c r="N45" s="11">
        <v>1042.5999999999999</v>
      </c>
    </row>
    <row r="46" spans="1:18">
      <c r="C46"/>
      <c r="D46"/>
      <c r="E46"/>
      <c r="F46"/>
      <c r="G46"/>
      <c r="H46"/>
      <c r="I46"/>
      <c r="J46"/>
      <c r="K46"/>
      <c r="M46" s="1">
        <v>44623</v>
      </c>
      <c r="N46" s="11">
        <v>318.33</v>
      </c>
    </row>
    <row r="47" spans="1:18">
      <c r="C47"/>
      <c r="D47"/>
      <c r="E47"/>
      <c r="F47"/>
      <c r="G47"/>
      <c r="H47"/>
      <c r="I47"/>
      <c r="J47"/>
      <c r="K47"/>
      <c r="M47" s="1">
        <v>44624</v>
      </c>
      <c r="N47" s="11">
        <v>182.35</v>
      </c>
    </row>
    <row r="48" spans="1:18">
      <c r="C48"/>
      <c r="D48"/>
      <c r="E48"/>
      <c r="F48"/>
      <c r="G48"/>
      <c r="H48"/>
      <c r="I48"/>
      <c r="J48"/>
      <c r="K48"/>
      <c r="M48" s="1">
        <v>44627</v>
      </c>
      <c r="N48" s="11">
        <v>805.04</v>
      </c>
    </row>
    <row r="49" spans="3:14">
      <c r="C49"/>
      <c r="D49"/>
      <c r="E49"/>
      <c r="F49"/>
      <c r="G49"/>
      <c r="H49"/>
      <c r="I49"/>
      <c r="J49"/>
      <c r="K49"/>
      <c r="M49" s="1">
        <v>44629</v>
      </c>
      <c r="N49" s="11">
        <v>246.17</v>
      </c>
    </row>
    <row r="50" spans="3:14">
      <c r="C50"/>
      <c r="D50"/>
      <c r="E50"/>
      <c r="F50"/>
      <c r="G50"/>
      <c r="H50"/>
      <c r="I50"/>
      <c r="J50"/>
      <c r="K50"/>
      <c r="M50" s="1">
        <v>44630</v>
      </c>
      <c r="N50" s="11">
        <v>371.81000000000006</v>
      </c>
    </row>
    <row r="51" spans="3:14">
      <c r="C51"/>
      <c r="D51"/>
      <c r="E51"/>
      <c r="F51"/>
      <c r="G51"/>
      <c r="H51"/>
      <c r="I51"/>
      <c r="J51"/>
      <c r="K51"/>
      <c r="M51" s="1">
        <v>44631</v>
      </c>
      <c r="N51" s="11">
        <v>244.66</v>
      </c>
    </row>
    <row r="52" spans="3:14">
      <c r="C52"/>
      <c r="D52"/>
      <c r="E52"/>
      <c r="F52"/>
      <c r="G52"/>
      <c r="H52"/>
      <c r="I52"/>
      <c r="J52"/>
      <c r="K52"/>
      <c r="M52" s="1">
        <v>44633</v>
      </c>
      <c r="N52" s="11">
        <v>795.57999999999993</v>
      </c>
    </row>
    <row r="53" spans="3:14">
      <c r="C53"/>
      <c r="D53"/>
      <c r="E53"/>
      <c r="F53"/>
      <c r="G53"/>
      <c r="H53"/>
      <c r="I53"/>
      <c r="J53"/>
      <c r="K53"/>
      <c r="M53" s="1">
        <v>44634</v>
      </c>
      <c r="N53" s="11">
        <v>244.72</v>
      </c>
    </row>
    <row r="54" spans="3:14">
      <c r="C54"/>
      <c r="D54"/>
      <c r="E54"/>
      <c r="F54"/>
      <c r="G54"/>
      <c r="H54"/>
      <c r="I54"/>
      <c r="J54"/>
      <c r="K54"/>
      <c r="M54" s="1">
        <v>44636</v>
      </c>
      <c r="N54" s="11">
        <v>123.89</v>
      </c>
    </row>
    <row r="55" spans="3:14">
      <c r="C55"/>
      <c r="D55"/>
      <c r="E55"/>
      <c r="F55"/>
      <c r="G55"/>
      <c r="H55"/>
      <c r="I55"/>
      <c r="J55"/>
      <c r="K55"/>
      <c r="M55" s="1">
        <v>44637</v>
      </c>
      <c r="N55" s="11">
        <v>209.95</v>
      </c>
    </row>
    <row r="56" spans="3:14">
      <c r="C56"/>
      <c r="D56"/>
      <c r="E56"/>
      <c r="F56"/>
      <c r="G56"/>
      <c r="H56"/>
      <c r="I56"/>
      <c r="J56"/>
      <c r="K56"/>
      <c r="M56" s="1">
        <v>44638</v>
      </c>
      <c r="N56" s="11">
        <v>197.20999999999998</v>
      </c>
    </row>
    <row r="57" spans="3:14">
      <c r="C57"/>
      <c r="D57"/>
      <c r="E57"/>
      <c r="F57"/>
      <c r="G57"/>
      <c r="H57"/>
      <c r="I57"/>
      <c r="J57"/>
      <c r="K57"/>
      <c r="M57" s="1">
        <v>44640</v>
      </c>
      <c r="N57" s="11">
        <v>394.01</v>
      </c>
    </row>
    <row r="58" spans="3:14">
      <c r="C58"/>
      <c r="D58"/>
      <c r="E58"/>
      <c r="F58"/>
      <c r="G58"/>
      <c r="H58"/>
      <c r="I58"/>
      <c r="J58"/>
      <c r="K58"/>
      <c r="M58" s="1">
        <v>44641</v>
      </c>
      <c r="N58" s="11">
        <v>134.53</v>
      </c>
    </row>
    <row r="59" spans="3:14">
      <c r="M59" s="1">
        <v>44642</v>
      </c>
      <c r="N59" s="11">
        <v>214</v>
      </c>
    </row>
    <row r="60" spans="3:14">
      <c r="M60" s="1">
        <v>44643</v>
      </c>
      <c r="N60" s="11">
        <v>366.29999999999995</v>
      </c>
    </row>
    <row r="61" spans="3:14">
      <c r="M61" s="1">
        <v>44644</v>
      </c>
      <c r="N61" s="11">
        <v>443.56</v>
      </c>
    </row>
    <row r="62" spans="3:14">
      <c r="M62" s="1">
        <v>44645</v>
      </c>
      <c r="N62" s="11">
        <v>94.04</v>
      </c>
    </row>
    <row r="63" spans="3:14">
      <c r="M63" s="1">
        <v>44646</v>
      </c>
      <c r="N63" s="11">
        <v>54.26</v>
      </c>
    </row>
    <row r="64" spans="3:14">
      <c r="M64" s="1">
        <v>44647</v>
      </c>
      <c r="N64" s="11">
        <v>89.01</v>
      </c>
    </row>
    <row r="65" spans="13:14">
      <c r="M65" s="1">
        <v>44648</v>
      </c>
      <c r="N65" s="11">
        <v>246.33999999999997</v>
      </c>
    </row>
    <row r="66" spans="13:14">
      <c r="M66" s="1">
        <v>44649</v>
      </c>
      <c r="N66" s="11">
        <v>243.79</v>
      </c>
    </row>
    <row r="67" spans="13:14">
      <c r="M67" s="1">
        <v>44652</v>
      </c>
      <c r="N67" s="11">
        <v>112.85</v>
      </c>
    </row>
    <row r="68" spans="13:14">
      <c r="M68" s="1">
        <v>44654</v>
      </c>
      <c r="N68" s="11">
        <v>40.32</v>
      </c>
    </row>
    <row r="69" spans="13:14">
      <c r="M69" s="1">
        <v>44656</v>
      </c>
      <c r="N69" s="11">
        <v>397.29</v>
      </c>
    </row>
    <row r="70" spans="13:14">
      <c r="M70" s="1">
        <v>44659</v>
      </c>
      <c r="N70" s="11">
        <v>622.77</v>
      </c>
    </row>
    <row r="71" spans="13:14">
      <c r="M71" s="1">
        <v>44662</v>
      </c>
      <c r="N71" s="11">
        <v>550.43000000000006</v>
      </c>
    </row>
    <row r="72" spans="13:14">
      <c r="M72" s="1">
        <v>44663</v>
      </c>
      <c r="N72" s="11">
        <v>161.49</v>
      </c>
    </row>
    <row r="73" spans="13:14">
      <c r="M73" s="1">
        <v>44664</v>
      </c>
      <c r="N73" s="11">
        <v>294.16000000000003</v>
      </c>
    </row>
    <row r="74" spans="13:14">
      <c r="M74" s="1">
        <v>44665</v>
      </c>
      <c r="N74" s="11">
        <v>409.43</v>
      </c>
    </row>
    <row r="75" spans="13:14">
      <c r="M75" s="1">
        <v>44667</v>
      </c>
      <c r="N75" s="11">
        <v>141.33000000000001</v>
      </c>
    </row>
    <row r="76" spans="13:14">
      <c r="M76" s="1">
        <v>44668</v>
      </c>
      <c r="N76" s="11">
        <v>342.89000000000004</v>
      </c>
    </row>
    <row r="77" spans="13:14">
      <c r="M77" s="1">
        <v>44670</v>
      </c>
      <c r="N77" s="11">
        <v>551.80000000000007</v>
      </c>
    </row>
    <row r="78" spans="13:14">
      <c r="M78" s="1">
        <v>44671</v>
      </c>
      <c r="N78" s="11">
        <v>396.99</v>
      </c>
    </row>
    <row r="79" spans="13:14">
      <c r="M79" s="1">
        <v>44673</v>
      </c>
      <c r="N79" s="11">
        <v>523.17999999999995</v>
      </c>
    </row>
    <row r="80" spans="13:14">
      <c r="M80" s="1">
        <v>44674</v>
      </c>
      <c r="N80" s="11">
        <v>96.7</v>
      </c>
    </row>
    <row r="81" spans="13:14">
      <c r="M81" s="1">
        <v>44675</v>
      </c>
      <c r="N81" s="11">
        <v>318.47000000000003</v>
      </c>
    </row>
    <row r="82" spans="13:14">
      <c r="M82" s="1">
        <v>44676</v>
      </c>
      <c r="N82" s="11">
        <v>64.41</v>
      </c>
    </row>
    <row r="83" spans="13:14">
      <c r="M83" s="1">
        <v>44677</v>
      </c>
      <c r="N83" s="11">
        <v>802.92000000000007</v>
      </c>
    </row>
    <row r="84" spans="13:14">
      <c r="M84" s="1">
        <v>44678</v>
      </c>
      <c r="N84" s="11">
        <v>1069.3399999999999</v>
      </c>
    </row>
    <row r="85" spans="13:14">
      <c r="M85" s="1">
        <v>44680</v>
      </c>
      <c r="N85" s="11">
        <v>295.77999999999997</v>
      </c>
    </row>
    <row r="86" spans="13:14">
      <c r="M86" s="1">
        <v>44681</v>
      </c>
      <c r="N86" s="11">
        <v>146.6</v>
      </c>
    </row>
    <row r="87" spans="13:14">
      <c r="M87" s="1">
        <v>44683</v>
      </c>
      <c r="N87" s="11">
        <v>260.35000000000002</v>
      </c>
    </row>
    <row r="88" spans="13:14">
      <c r="M88" s="1">
        <v>44684</v>
      </c>
      <c r="N88" s="11">
        <v>367</v>
      </c>
    </row>
    <row r="89" spans="13:14">
      <c r="M89" s="1">
        <v>44685</v>
      </c>
      <c r="N89" s="11">
        <v>142.63</v>
      </c>
    </row>
    <row r="90" spans="13:14">
      <c r="M90" s="1">
        <v>44686</v>
      </c>
      <c r="N90" s="11">
        <v>345.67</v>
      </c>
    </row>
    <row r="91" spans="13:14">
      <c r="M91" s="1">
        <v>44687</v>
      </c>
      <c r="N91" s="11">
        <v>178.45</v>
      </c>
    </row>
    <row r="92" spans="13:14">
      <c r="M92" s="1">
        <v>44690</v>
      </c>
      <c r="N92" s="11">
        <v>259.84000000000003</v>
      </c>
    </row>
    <row r="93" spans="13:14">
      <c r="M93" s="1">
        <v>44693</v>
      </c>
      <c r="N93" s="11">
        <v>192.59</v>
      </c>
    </row>
    <row r="94" spans="13:14">
      <c r="M94" s="1">
        <v>44694</v>
      </c>
      <c r="N94" s="11">
        <v>134.85</v>
      </c>
    </row>
    <row r="95" spans="13:14">
      <c r="M95" s="1">
        <v>44695</v>
      </c>
      <c r="N95" s="11">
        <v>648.25</v>
      </c>
    </row>
    <row r="96" spans="13:14">
      <c r="M96" s="1">
        <v>44696</v>
      </c>
      <c r="N96" s="11">
        <v>471.36</v>
      </c>
    </row>
    <row r="97" spans="13:14">
      <c r="M97" s="1">
        <v>44697</v>
      </c>
      <c r="N97" s="11">
        <v>136.59</v>
      </c>
    </row>
    <row r="98" spans="13:14">
      <c r="M98" s="1">
        <v>44698</v>
      </c>
      <c r="N98" s="11">
        <v>339.14</v>
      </c>
    </row>
    <row r="99" spans="13:14">
      <c r="M99" s="1">
        <v>44699</v>
      </c>
      <c r="N99" s="11">
        <v>445.21999999999997</v>
      </c>
    </row>
    <row r="100" spans="13:14">
      <c r="M100" s="1">
        <v>44700</v>
      </c>
      <c r="N100" s="11">
        <v>79.459999999999994</v>
      </c>
    </row>
    <row r="101" spans="13:14">
      <c r="M101" s="1">
        <v>44701</v>
      </c>
      <c r="N101" s="11">
        <v>426.02</v>
      </c>
    </row>
    <row r="102" spans="13:14">
      <c r="M102" s="1">
        <v>44702</v>
      </c>
      <c r="N102" s="11">
        <v>429</v>
      </c>
    </row>
    <row r="103" spans="13:14">
      <c r="M103" s="1">
        <v>44704</v>
      </c>
      <c r="N103" s="11">
        <v>838.6</v>
      </c>
    </row>
    <row r="104" spans="13:14">
      <c r="M104" s="1">
        <v>44705</v>
      </c>
      <c r="N104" s="11">
        <v>468.9</v>
      </c>
    </row>
    <row r="105" spans="13:14">
      <c r="M105" s="1">
        <v>44706</v>
      </c>
      <c r="N105" s="11">
        <v>197.08999999999997</v>
      </c>
    </row>
    <row r="106" spans="13:14">
      <c r="M106" s="1">
        <v>44707</v>
      </c>
      <c r="N106" s="11">
        <v>155.31</v>
      </c>
    </row>
    <row r="107" spans="13:14">
      <c r="M107" s="1">
        <v>44708</v>
      </c>
      <c r="N107" s="11">
        <v>151.09</v>
      </c>
    </row>
    <row r="108" spans="13:14">
      <c r="M108" s="1">
        <v>44709</v>
      </c>
      <c r="N108" s="11">
        <v>708.93000000000006</v>
      </c>
    </row>
    <row r="109" spans="13:14">
      <c r="M109" s="1">
        <v>44710</v>
      </c>
      <c r="N109" s="11">
        <v>629.54999999999995</v>
      </c>
    </row>
    <row r="110" spans="13:14">
      <c r="M110" s="1">
        <v>44711</v>
      </c>
      <c r="N110" s="11">
        <v>123.12</v>
      </c>
    </row>
    <row r="111" spans="13:14">
      <c r="M111" s="1">
        <v>44712</v>
      </c>
      <c r="N111" s="11">
        <v>755.99</v>
      </c>
    </row>
    <row r="112" spans="13:14">
      <c r="M112" s="1">
        <v>44714</v>
      </c>
      <c r="N112" s="11">
        <v>149.85</v>
      </c>
    </row>
    <row r="113" spans="13:14">
      <c r="M113" s="1">
        <v>44715</v>
      </c>
      <c r="N113" s="11">
        <v>973.19</v>
      </c>
    </row>
    <row r="114" spans="13:14">
      <c r="M114" s="1">
        <v>44716</v>
      </c>
      <c r="N114" s="11">
        <v>41.09</v>
      </c>
    </row>
    <row r="115" spans="13:14">
      <c r="M115" s="1">
        <v>44717</v>
      </c>
      <c r="N115" s="11">
        <v>400.49</v>
      </c>
    </row>
    <row r="116" spans="13:14">
      <c r="M116" s="1">
        <v>44718</v>
      </c>
      <c r="N116" s="11">
        <v>372.53000000000003</v>
      </c>
    </row>
    <row r="117" spans="13:14">
      <c r="M117" s="1">
        <v>44719</v>
      </c>
      <c r="N117" s="11">
        <v>381.45</v>
      </c>
    </row>
    <row r="118" spans="13:14">
      <c r="M118" s="1">
        <v>44721</v>
      </c>
      <c r="N118" s="11">
        <v>307.75</v>
      </c>
    </row>
    <row r="119" spans="13:14">
      <c r="M119" s="1">
        <v>44722</v>
      </c>
      <c r="N119" s="11">
        <v>272.97000000000003</v>
      </c>
    </row>
    <row r="120" spans="13:14">
      <c r="M120" s="1">
        <v>44723</v>
      </c>
      <c r="N120" s="11">
        <v>245.23000000000002</v>
      </c>
    </row>
    <row r="121" spans="13:14">
      <c r="M121" s="1">
        <v>44727</v>
      </c>
      <c r="N121" s="11">
        <v>127.82</v>
      </c>
    </row>
    <row r="122" spans="13:14">
      <c r="M122" s="1">
        <v>44728</v>
      </c>
      <c r="N122" s="11">
        <v>581.74</v>
      </c>
    </row>
    <row r="123" spans="13:14">
      <c r="M123" s="1">
        <v>44729</v>
      </c>
      <c r="N123" s="11">
        <v>287.52999999999997</v>
      </c>
    </row>
    <row r="124" spans="13:14">
      <c r="M124" s="1">
        <v>44730</v>
      </c>
      <c r="N124" s="11">
        <v>238.86</v>
      </c>
    </row>
    <row r="125" spans="13:14">
      <c r="M125" s="1">
        <v>44731</v>
      </c>
      <c r="N125" s="11">
        <v>633.45000000000005</v>
      </c>
    </row>
    <row r="126" spans="13:14">
      <c r="M126" s="1">
        <v>44733</v>
      </c>
      <c r="N126" s="11">
        <v>44.7</v>
      </c>
    </row>
    <row r="127" spans="13:14">
      <c r="M127" s="1">
        <v>44734</v>
      </c>
      <c r="N127" s="11">
        <v>134.24</v>
      </c>
    </row>
    <row r="128" spans="13:14">
      <c r="M128" s="1">
        <v>44735</v>
      </c>
      <c r="N128" s="11">
        <v>240.46999999999997</v>
      </c>
    </row>
    <row r="129" spans="13:14">
      <c r="M129" s="1">
        <v>44737</v>
      </c>
      <c r="N129" s="11">
        <v>402.03999999999996</v>
      </c>
    </row>
    <row r="130" spans="13:14">
      <c r="M130" s="1">
        <v>44738</v>
      </c>
      <c r="N130" s="11">
        <v>649.26</v>
      </c>
    </row>
    <row r="131" spans="13:14">
      <c r="M131" s="1">
        <v>44739</v>
      </c>
      <c r="N131" s="11">
        <v>176.45</v>
      </c>
    </row>
    <row r="132" spans="13:14">
      <c r="M132" s="1">
        <v>44740</v>
      </c>
      <c r="N132" s="11">
        <v>88.38</v>
      </c>
    </row>
    <row r="133" spans="13:14">
      <c r="M133" s="1">
        <v>44742</v>
      </c>
      <c r="N133" s="11">
        <v>270.07</v>
      </c>
    </row>
    <row r="134" spans="13:14">
      <c r="M134" s="1">
        <v>44743</v>
      </c>
      <c r="N134" s="11">
        <v>195.23000000000002</v>
      </c>
    </row>
    <row r="135" spans="13:14">
      <c r="M135" s="1">
        <v>44744</v>
      </c>
      <c r="N135" s="11">
        <v>718.9</v>
      </c>
    </row>
    <row r="136" spans="13:14">
      <c r="M136" s="1">
        <v>44745</v>
      </c>
      <c r="N136" s="11">
        <v>257.7</v>
      </c>
    </row>
    <row r="137" spans="13:14">
      <c r="M137" s="1">
        <v>44747</v>
      </c>
      <c r="N137" s="11">
        <v>217.38</v>
      </c>
    </row>
    <row r="138" spans="13:14">
      <c r="M138" s="1">
        <v>44748</v>
      </c>
      <c r="N138" s="11">
        <v>367.4</v>
      </c>
    </row>
    <row r="139" spans="13:14">
      <c r="M139" s="1">
        <v>44749</v>
      </c>
      <c r="N139" s="11">
        <v>77.03</v>
      </c>
    </row>
    <row r="140" spans="13:14">
      <c r="M140" s="1">
        <v>44750</v>
      </c>
      <c r="N140" s="11">
        <v>153.08000000000001</v>
      </c>
    </row>
    <row r="141" spans="13:14">
      <c r="M141" s="1">
        <v>44751</v>
      </c>
      <c r="N141" s="11">
        <v>764.75</v>
      </c>
    </row>
    <row r="142" spans="13:14">
      <c r="M142" s="1">
        <v>44752</v>
      </c>
      <c r="N142" s="11">
        <v>102.72</v>
      </c>
    </row>
    <row r="143" spans="13:14">
      <c r="M143" s="1">
        <v>44753</v>
      </c>
      <c r="N143" s="11">
        <v>326.24</v>
      </c>
    </row>
    <row r="144" spans="13:14">
      <c r="M144" s="1">
        <v>44755</v>
      </c>
      <c r="N144" s="11">
        <v>431.39</v>
      </c>
    </row>
    <row r="145" spans="13:14">
      <c r="M145" s="1">
        <v>44756</v>
      </c>
      <c r="N145" s="11">
        <v>704.88</v>
      </c>
    </row>
    <row r="146" spans="13:14">
      <c r="M146" s="1">
        <v>44757</v>
      </c>
      <c r="N146" s="11">
        <v>845.03</v>
      </c>
    </row>
    <row r="147" spans="13:14">
      <c r="M147" s="1">
        <v>44758</v>
      </c>
      <c r="N147" s="11">
        <v>295.71000000000004</v>
      </c>
    </row>
    <row r="148" spans="13:14">
      <c r="M148" s="1">
        <v>44759</v>
      </c>
      <c r="N148" s="11">
        <v>327.24</v>
      </c>
    </row>
    <row r="149" spans="13:14">
      <c r="M149" s="1">
        <v>44760</v>
      </c>
      <c r="N149" s="11">
        <v>97.26</v>
      </c>
    </row>
    <row r="150" spans="13:14">
      <c r="M150" s="1">
        <v>44762</v>
      </c>
      <c r="N150" s="11">
        <v>101.75</v>
      </c>
    </row>
    <row r="151" spans="13:14">
      <c r="M151" s="1">
        <v>44764</v>
      </c>
      <c r="N151" s="11">
        <v>479.93</v>
      </c>
    </row>
    <row r="152" spans="13:14">
      <c r="M152" s="1">
        <v>44765</v>
      </c>
      <c r="N152" s="11">
        <v>122.71</v>
      </c>
    </row>
    <row r="153" spans="13:14">
      <c r="M153" s="1">
        <v>44766</v>
      </c>
      <c r="N153" s="11">
        <v>683.88</v>
      </c>
    </row>
    <row r="154" spans="13:14">
      <c r="M154" s="1">
        <v>44767</v>
      </c>
      <c r="N154" s="11">
        <v>312.06</v>
      </c>
    </row>
    <row r="155" spans="13:14">
      <c r="M155" s="1">
        <v>44768</v>
      </c>
      <c r="N155" s="11">
        <v>17.670000000000002</v>
      </c>
    </row>
    <row r="156" spans="13:14">
      <c r="M156" s="1">
        <v>44769</v>
      </c>
      <c r="N156" s="11">
        <v>367.01</v>
      </c>
    </row>
    <row r="157" spans="13:14">
      <c r="M157" s="1">
        <v>44770</v>
      </c>
      <c r="N157" s="11">
        <v>22.99</v>
      </c>
    </row>
    <row r="158" spans="13:14">
      <c r="M158" s="1">
        <v>44771</v>
      </c>
      <c r="N158" s="11">
        <v>380.27</v>
      </c>
    </row>
    <row r="159" spans="13:14">
      <c r="M159" s="1">
        <v>44773</v>
      </c>
      <c r="N159" s="11">
        <v>384.23</v>
      </c>
    </row>
    <row r="160" spans="13:14">
      <c r="M160" s="1">
        <v>44774</v>
      </c>
      <c r="N160" s="11">
        <v>215.35000000000002</v>
      </c>
    </row>
    <row r="161" spans="13:14">
      <c r="M161" s="1">
        <v>44775</v>
      </c>
      <c r="N161" s="11">
        <v>301.01</v>
      </c>
    </row>
    <row r="162" spans="13:14">
      <c r="M162" s="1">
        <v>44776</v>
      </c>
      <c r="N162" s="11">
        <v>88.2</v>
      </c>
    </row>
    <row r="163" spans="13:14">
      <c r="M163" s="1">
        <v>44777</v>
      </c>
      <c r="N163" s="11">
        <v>383.90999999999997</v>
      </c>
    </row>
    <row r="164" spans="13:14">
      <c r="M164" s="1">
        <v>44778</v>
      </c>
      <c r="N164" s="11">
        <v>279.99</v>
      </c>
    </row>
    <row r="165" spans="13:14">
      <c r="M165" s="1">
        <v>44779</v>
      </c>
      <c r="N165" s="11">
        <v>585.74</v>
      </c>
    </row>
    <row r="166" spans="13:14">
      <c r="M166" s="1">
        <v>44783</v>
      </c>
      <c r="N166" s="11">
        <v>406.29</v>
      </c>
    </row>
    <row r="167" spans="13:14">
      <c r="M167" s="1">
        <v>44784</v>
      </c>
      <c r="N167" s="11">
        <v>276.8</v>
      </c>
    </row>
    <row r="168" spans="13:14">
      <c r="M168" s="1">
        <v>44785</v>
      </c>
      <c r="N168" s="11">
        <v>78.790000000000006</v>
      </c>
    </row>
    <row r="169" spans="13:14">
      <c r="M169" s="1">
        <v>44786</v>
      </c>
      <c r="N169" s="11">
        <v>97.52</v>
      </c>
    </row>
    <row r="170" spans="13:14">
      <c r="M170" s="1">
        <v>44787</v>
      </c>
      <c r="N170" s="11">
        <v>48.19</v>
      </c>
    </row>
    <row r="171" spans="13:14">
      <c r="M171" s="1">
        <v>44790</v>
      </c>
      <c r="N171" s="11">
        <v>622.88</v>
      </c>
    </row>
    <row r="172" spans="13:14">
      <c r="M172" s="1">
        <v>44792</v>
      </c>
      <c r="N172" s="11">
        <v>163.5</v>
      </c>
    </row>
    <row r="173" spans="13:14">
      <c r="M173" s="1">
        <v>44794</v>
      </c>
      <c r="N173" s="11">
        <v>436.52</v>
      </c>
    </row>
    <row r="174" spans="13:14">
      <c r="M174" s="1">
        <v>44795</v>
      </c>
      <c r="N174" s="11">
        <v>146.37</v>
      </c>
    </row>
    <row r="175" spans="13:14">
      <c r="M175" s="1">
        <v>44796</v>
      </c>
      <c r="N175" s="11">
        <v>335.13</v>
      </c>
    </row>
    <row r="176" spans="13:14">
      <c r="M176" s="1">
        <v>44798</v>
      </c>
      <c r="N176" s="11">
        <v>625.55999999999995</v>
      </c>
    </row>
    <row r="177" spans="13:14">
      <c r="M177" s="1">
        <v>44799</v>
      </c>
      <c r="N177" s="11">
        <v>745.96</v>
      </c>
    </row>
    <row r="178" spans="13:14">
      <c r="M178" s="1">
        <v>44800</v>
      </c>
      <c r="N178" s="11">
        <v>112.49</v>
      </c>
    </row>
    <row r="179" spans="13:14">
      <c r="M179" s="1">
        <v>44801</v>
      </c>
      <c r="N179" s="11">
        <v>472.1</v>
      </c>
    </row>
    <row r="180" spans="13:14">
      <c r="M180" s="1">
        <v>44802</v>
      </c>
      <c r="N180" s="11">
        <v>188.06</v>
      </c>
    </row>
    <row r="181" spans="13:14">
      <c r="M181" s="1">
        <v>44804</v>
      </c>
      <c r="N181" s="11">
        <v>270.74</v>
      </c>
    </row>
    <row r="198" spans="1:11">
      <c r="B198" s="9" t="s">
        <v>29</v>
      </c>
      <c r="C198"/>
      <c r="E198"/>
      <c r="F198"/>
      <c r="G198"/>
      <c r="H198"/>
      <c r="I198"/>
      <c r="J198"/>
      <c r="K198"/>
    </row>
    <row r="199" spans="1:11">
      <c r="A199" s="9" t="s">
        <v>49</v>
      </c>
      <c r="B199" t="s">
        <v>62</v>
      </c>
      <c r="C199" t="s">
        <v>63</v>
      </c>
      <c r="E199"/>
      <c r="F199"/>
      <c r="G199"/>
      <c r="H199"/>
      <c r="I199"/>
      <c r="J199"/>
      <c r="K199"/>
    </row>
    <row r="200" spans="1:11">
      <c r="A200" t="s">
        <v>54</v>
      </c>
      <c r="B200" s="16">
        <v>2185.4700000000003</v>
      </c>
      <c r="C200" s="11">
        <v>2364.905925925927</v>
      </c>
      <c r="E200"/>
      <c r="F200"/>
      <c r="G200"/>
      <c r="H200"/>
      <c r="I200"/>
      <c r="J200"/>
      <c r="K200"/>
    </row>
    <row r="201" spans="1:11">
      <c r="A201" t="s">
        <v>55</v>
      </c>
      <c r="B201" s="16">
        <v>1721.52</v>
      </c>
      <c r="C201" s="11">
        <v>1945.9349999999999</v>
      </c>
      <c r="E201"/>
      <c r="F201"/>
      <c r="G201"/>
      <c r="H201"/>
      <c r="I201"/>
      <c r="J201"/>
      <c r="K201"/>
    </row>
    <row r="202" spans="1:11">
      <c r="A202" t="s">
        <v>56</v>
      </c>
      <c r="B202" s="16">
        <v>1770.3600000000001</v>
      </c>
      <c r="C202" s="11">
        <v>1773.6794444444454</v>
      </c>
      <c r="E202"/>
      <c r="F202"/>
      <c r="G202"/>
      <c r="H202"/>
      <c r="I202"/>
      <c r="J202"/>
      <c r="K202"/>
    </row>
    <row r="203" spans="1:11">
      <c r="A203" t="s">
        <v>57</v>
      </c>
      <c r="B203" s="16">
        <v>1368.74</v>
      </c>
      <c r="C203" s="11">
        <v>4208.9841818181831</v>
      </c>
      <c r="E203"/>
      <c r="F203"/>
      <c r="G203"/>
      <c r="H203"/>
      <c r="I203"/>
      <c r="J203"/>
      <c r="K203"/>
    </row>
    <row r="204" spans="1:11">
      <c r="A204" t="s">
        <v>58</v>
      </c>
      <c r="B204" s="16">
        <v>1767.0500000000002</v>
      </c>
      <c r="C204" s="11">
        <v>1945.9349999999999</v>
      </c>
      <c r="E204"/>
      <c r="F204"/>
      <c r="G204"/>
      <c r="H204"/>
      <c r="I204"/>
      <c r="J204"/>
      <c r="K204"/>
    </row>
    <row r="205" spans="1:11">
      <c r="A205" t="s">
        <v>59</v>
      </c>
      <c r="B205" s="16">
        <v>2252.73</v>
      </c>
      <c r="C205" s="11">
        <v>7783.74</v>
      </c>
      <c r="E205"/>
      <c r="F205"/>
      <c r="G205"/>
      <c r="H205"/>
      <c r="I205"/>
      <c r="J205"/>
      <c r="K205"/>
    </row>
    <row r="206" spans="1:11">
      <c r="A206" t="s">
        <v>60</v>
      </c>
      <c r="B206" s="16">
        <v>1922.5800000000002</v>
      </c>
      <c r="C206" s="11">
        <v>3792.3947727272725</v>
      </c>
      <c r="E206"/>
      <c r="F206"/>
      <c r="G206"/>
      <c r="H206"/>
      <c r="I206"/>
      <c r="J206"/>
      <c r="K206"/>
    </row>
    <row r="207" spans="1:11">
      <c r="A207" t="s">
        <v>61</v>
      </c>
      <c r="B207" s="16">
        <v>2645.1499999999996</v>
      </c>
      <c r="C207" s="11">
        <v>2805.9894545454554</v>
      </c>
      <c r="E207"/>
      <c r="F207"/>
      <c r="G207"/>
      <c r="H207"/>
      <c r="I207"/>
      <c r="J207"/>
      <c r="K20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1A6E-34A9-4275-AE0B-EB9269DA2C0A}">
  <dimension ref="A1:M207"/>
  <sheetViews>
    <sheetView showGridLines="0" zoomScale="85" zoomScaleNormal="85" workbookViewId="0">
      <selection activeCell="K19" sqref="K19"/>
    </sheetView>
  </sheetViews>
  <sheetFormatPr defaultRowHeight="14.4"/>
  <cols>
    <col min="1" max="1" width="13.21875" bestFit="1" customWidth="1"/>
    <col min="2" max="2" width="13.33203125" bestFit="1" customWidth="1"/>
    <col min="3" max="3" width="13.21875" style="12" bestFit="1" customWidth="1"/>
    <col min="4" max="4" width="13.88671875" style="12" bestFit="1" customWidth="1"/>
    <col min="5" max="5" width="19.6640625" style="12" bestFit="1" customWidth="1"/>
    <col min="6" max="6" width="14.109375" style="12" bestFit="1" customWidth="1"/>
    <col min="7" max="7" width="4.21875" customWidth="1"/>
    <col min="8" max="8" width="16.88671875" bestFit="1" customWidth="1"/>
    <col min="9" max="9" width="6.6640625" bestFit="1" customWidth="1"/>
    <col min="10" max="10" width="4.5546875" customWidth="1"/>
    <col min="11" max="11" width="19.6640625" customWidth="1"/>
    <col min="12" max="12" width="14.44140625" bestFit="1" customWidth="1"/>
    <col min="13" max="13" width="9.77734375" bestFit="1" customWidth="1"/>
  </cols>
  <sheetData>
    <row r="1" spans="1:12">
      <c r="C1" s="13" t="s">
        <v>29</v>
      </c>
      <c r="H1" s="9" t="s">
        <v>39</v>
      </c>
      <c r="K1" s="9" t="s">
        <v>39</v>
      </c>
    </row>
    <row r="2" spans="1:12">
      <c r="A2" s="9" t="s">
        <v>2</v>
      </c>
      <c r="B2" s="9" t="s">
        <v>49</v>
      </c>
      <c r="C2" s="10" t="s">
        <v>62</v>
      </c>
      <c r="D2" s="10" t="s">
        <v>63</v>
      </c>
      <c r="E2" s="10" t="s">
        <v>64</v>
      </c>
      <c r="F2" s="10" t="s">
        <v>65</v>
      </c>
      <c r="H2" s="9" t="s">
        <v>0</v>
      </c>
      <c r="I2" t="s">
        <v>28</v>
      </c>
      <c r="K2" s="9" t="s">
        <v>2</v>
      </c>
      <c r="L2" t="s">
        <v>28</v>
      </c>
    </row>
    <row r="3" spans="1:12">
      <c r="A3" t="s">
        <v>24</v>
      </c>
      <c r="B3" t="s">
        <v>54</v>
      </c>
      <c r="C3" s="14">
        <v>865.70999999999992</v>
      </c>
      <c r="D3" s="14">
        <v>2189.9328888888886</v>
      </c>
      <c r="E3" s="14">
        <v>760.68999999999994</v>
      </c>
      <c r="F3" s="15">
        <v>0.13805886760704097</v>
      </c>
      <c r="H3" s="1">
        <v>44563</v>
      </c>
      <c r="I3" s="11">
        <v>244.41000000000003</v>
      </c>
      <c r="K3" t="s">
        <v>20</v>
      </c>
      <c r="L3" s="11">
        <v>6486.45</v>
      </c>
    </row>
    <row r="4" spans="1:12">
      <c r="A4" t="s">
        <v>24</v>
      </c>
      <c r="B4" t="s">
        <v>55</v>
      </c>
      <c r="C4" s="14">
        <v>896.81</v>
      </c>
      <c r="D4" s="14">
        <v>1094.9664444444443</v>
      </c>
      <c r="E4" s="14">
        <v>874.87</v>
      </c>
      <c r="F4" s="15">
        <v>2.5078011590293346E-2</v>
      </c>
      <c r="H4" s="1">
        <v>44566</v>
      </c>
      <c r="I4" s="11">
        <v>247.43</v>
      </c>
      <c r="K4" t="s">
        <v>7</v>
      </c>
      <c r="L4" s="11">
        <v>6896.1499999999987</v>
      </c>
    </row>
    <row r="5" spans="1:12">
      <c r="A5" t="s">
        <v>24</v>
      </c>
      <c r="B5" t="s">
        <v>56</v>
      </c>
      <c r="C5" s="14">
        <v>930.81000000000006</v>
      </c>
      <c r="D5" s="14">
        <v>1094.9664444444443</v>
      </c>
      <c r="E5" s="14">
        <v>1214.3899999999999</v>
      </c>
      <c r="F5" s="15">
        <v>-0.23351641564900885</v>
      </c>
      <c r="H5" s="1">
        <v>44567</v>
      </c>
      <c r="I5" s="11">
        <v>54.15</v>
      </c>
      <c r="K5" t="s">
        <v>24</v>
      </c>
      <c r="L5" s="11">
        <v>7039.07</v>
      </c>
    </row>
    <row r="6" spans="1:12">
      <c r="A6" t="s">
        <v>24</v>
      </c>
      <c r="B6" t="s">
        <v>57</v>
      </c>
      <c r="C6" s="14">
        <v>1214.3899999999999</v>
      </c>
      <c r="D6" s="14">
        <v>821.22483333333321</v>
      </c>
      <c r="E6" s="14">
        <v>0</v>
      </c>
      <c r="F6" s="15">
        <v>0</v>
      </c>
      <c r="H6" s="1">
        <v>44568</v>
      </c>
      <c r="I6" s="11">
        <v>756.15</v>
      </c>
      <c r="K6" t="s">
        <v>13</v>
      </c>
      <c r="L6" s="11">
        <v>7945.9699999999993</v>
      </c>
    </row>
    <row r="7" spans="1:12">
      <c r="A7" t="s">
        <v>24</v>
      </c>
      <c r="B7" t="s">
        <v>58</v>
      </c>
      <c r="C7" s="14">
        <v>874.87</v>
      </c>
      <c r="D7" s="14">
        <v>938.54266666666649</v>
      </c>
      <c r="E7" s="14">
        <v>704.09</v>
      </c>
      <c r="F7" s="15">
        <v>0.24255421892087653</v>
      </c>
      <c r="H7" s="1">
        <v>44569</v>
      </c>
      <c r="I7" s="11">
        <v>392.8</v>
      </c>
      <c r="K7" t="s">
        <v>19</v>
      </c>
      <c r="L7" s="11">
        <v>9121.7800000000043</v>
      </c>
    </row>
    <row r="8" spans="1:12">
      <c r="A8" t="s">
        <v>24</v>
      </c>
      <c r="B8" t="s">
        <v>59</v>
      </c>
      <c r="C8" s="14">
        <v>704.09</v>
      </c>
      <c r="D8" s="14">
        <v>1642.4496666666664</v>
      </c>
      <c r="E8" s="14">
        <v>791.69999999999993</v>
      </c>
      <c r="F8" s="15">
        <v>-0.11066060376405193</v>
      </c>
      <c r="H8" s="1">
        <v>44571</v>
      </c>
      <c r="I8" s="11">
        <v>328.78</v>
      </c>
      <c r="K8" t="s">
        <v>10</v>
      </c>
      <c r="L8" s="11">
        <v>10416.34</v>
      </c>
    </row>
    <row r="9" spans="1:12">
      <c r="A9" t="s">
        <v>24</v>
      </c>
      <c r="B9" t="s">
        <v>60</v>
      </c>
      <c r="C9" s="14">
        <v>760.68999999999994</v>
      </c>
      <c r="D9" s="14">
        <v>1313.9597333333331</v>
      </c>
      <c r="E9" s="14">
        <v>930.81000000000006</v>
      </c>
      <c r="F9" s="15">
        <v>-0.18276554828590164</v>
      </c>
      <c r="H9" s="1">
        <v>44572</v>
      </c>
      <c r="I9" s="11">
        <v>210.77</v>
      </c>
      <c r="K9" t="s">
        <v>23</v>
      </c>
      <c r="L9" s="11">
        <v>11023.530000000002</v>
      </c>
    </row>
    <row r="10" spans="1:12">
      <c r="A10" t="s">
        <v>24</v>
      </c>
      <c r="B10" t="s">
        <v>61</v>
      </c>
      <c r="C10" s="14">
        <v>791.69999999999993</v>
      </c>
      <c r="D10" s="14">
        <v>1094.9664444444443</v>
      </c>
      <c r="E10" s="14">
        <v>865.70999999999992</v>
      </c>
      <c r="F10" s="15">
        <v>-8.5490522230308064E-2</v>
      </c>
      <c r="H10" s="1">
        <v>44574</v>
      </c>
      <c r="I10" s="11">
        <v>674.27</v>
      </c>
    </row>
    <row r="11" spans="1:12">
      <c r="A11" t="s">
        <v>7</v>
      </c>
      <c r="B11" t="s">
        <v>54</v>
      </c>
      <c r="C11" s="14">
        <v>574.2399999999999</v>
      </c>
      <c r="D11" s="14">
        <v>1206.8262499999996</v>
      </c>
      <c r="E11" s="14">
        <v>1795.9</v>
      </c>
      <c r="F11" s="15">
        <v>-0.68024945709672047</v>
      </c>
      <c r="H11" s="1">
        <v>44575</v>
      </c>
      <c r="I11" s="11">
        <v>289.57</v>
      </c>
      <c r="K11" s="9" t="s">
        <v>40</v>
      </c>
    </row>
    <row r="12" spans="1:12">
      <c r="A12" t="s">
        <v>7</v>
      </c>
      <c r="B12" t="s">
        <v>55</v>
      </c>
      <c r="C12" s="14">
        <v>1020.76</v>
      </c>
      <c r="D12" s="14">
        <v>1206.8262499999996</v>
      </c>
      <c r="E12" s="14">
        <v>537.31000000000006</v>
      </c>
      <c r="F12" s="15">
        <v>0.89975991513279086</v>
      </c>
      <c r="H12" s="1">
        <v>44576</v>
      </c>
      <c r="I12" s="11">
        <v>211.91</v>
      </c>
      <c r="K12" s="9" t="s">
        <v>27</v>
      </c>
      <c r="L12" t="s">
        <v>28</v>
      </c>
    </row>
    <row r="13" spans="1:12">
      <c r="A13" t="s">
        <v>7</v>
      </c>
      <c r="B13" t="s">
        <v>56</v>
      </c>
      <c r="C13" s="14">
        <v>837.85</v>
      </c>
      <c r="D13" s="14">
        <v>862.01874999999984</v>
      </c>
      <c r="E13" s="14">
        <v>656.7700000000001</v>
      </c>
      <c r="F13" s="15">
        <v>0.27571295887449165</v>
      </c>
      <c r="H13" s="1">
        <v>44577</v>
      </c>
      <c r="I13" s="11">
        <v>27.98</v>
      </c>
      <c r="K13" t="s">
        <v>41</v>
      </c>
      <c r="L13">
        <v>107</v>
      </c>
    </row>
    <row r="14" spans="1:12">
      <c r="A14" t="s">
        <v>7</v>
      </c>
      <c r="B14" t="s">
        <v>57</v>
      </c>
      <c r="C14" s="14">
        <v>656.7700000000001</v>
      </c>
      <c r="D14" s="14">
        <v>1005.6885416666664</v>
      </c>
      <c r="E14" s="14">
        <v>0</v>
      </c>
      <c r="F14" s="15">
        <v>0</v>
      </c>
      <c r="H14" s="1">
        <v>44578</v>
      </c>
      <c r="I14" s="11">
        <v>147.72999999999999</v>
      </c>
      <c r="K14" t="s">
        <v>42</v>
      </c>
      <c r="L14">
        <v>194</v>
      </c>
    </row>
    <row r="15" spans="1:12">
      <c r="A15" t="s">
        <v>7</v>
      </c>
      <c r="B15" t="s">
        <v>58</v>
      </c>
      <c r="C15" s="14">
        <v>537.31000000000006</v>
      </c>
      <c r="D15" s="14">
        <v>862.01874999999984</v>
      </c>
      <c r="E15" s="14">
        <v>1013.7</v>
      </c>
      <c r="F15" s="15">
        <v>-0.46995166222748347</v>
      </c>
      <c r="H15" s="1">
        <v>44579</v>
      </c>
      <c r="I15" s="11">
        <v>225.25</v>
      </c>
      <c r="K15" t="s">
        <v>43</v>
      </c>
      <c r="L15">
        <v>32</v>
      </c>
    </row>
    <row r="16" spans="1:12">
      <c r="A16" t="s">
        <v>7</v>
      </c>
      <c r="B16" t="s">
        <v>59</v>
      </c>
      <c r="C16" s="14">
        <v>1013.7</v>
      </c>
      <c r="D16" s="14">
        <v>862.01874999999984</v>
      </c>
      <c r="E16" s="14">
        <v>459.62</v>
      </c>
      <c r="F16" s="15">
        <v>1.2055176014968889</v>
      </c>
      <c r="H16" s="1">
        <v>44580</v>
      </c>
      <c r="I16" s="11">
        <v>656.04</v>
      </c>
    </row>
    <row r="17" spans="1:13">
      <c r="A17" t="s">
        <v>7</v>
      </c>
      <c r="B17" t="s">
        <v>60</v>
      </c>
      <c r="C17" s="14">
        <v>1795.9</v>
      </c>
      <c r="D17" s="14">
        <v>862.01874999999984</v>
      </c>
      <c r="E17" s="14">
        <v>837.85</v>
      </c>
      <c r="F17" s="15">
        <v>1.1434624336098347</v>
      </c>
      <c r="H17" s="1">
        <v>44582</v>
      </c>
      <c r="I17" s="11">
        <v>180.5</v>
      </c>
      <c r="K17" s="9" t="s">
        <v>39</v>
      </c>
    </row>
    <row r="18" spans="1:13">
      <c r="A18" t="s">
        <v>7</v>
      </c>
      <c r="B18" t="s">
        <v>61</v>
      </c>
      <c r="C18" s="14">
        <v>459.62</v>
      </c>
      <c r="D18" s="14">
        <v>1508.5328124999996</v>
      </c>
      <c r="E18" s="14">
        <v>574.2399999999999</v>
      </c>
      <c r="F18" s="15">
        <v>-0.1996029534689327</v>
      </c>
      <c r="H18" s="1">
        <v>44583</v>
      </c>
      <c r="I18" s="11">
        <v>68.209999999999994</v>
      </c>
      <c r="K18" s="9" t="s">
        <v>26</v>
      </c>
      <c r="L18" t="s">
        <v>28</v>
      </c>
    </row>
    <row r="19" spans="1:13">
      <c r="A19" t="s">
        <v>10</v>
      </c>
      <c r="B19" t="s">
        <v>54</v>
      </c>
      <c r="C19" s="14">
        <v>2185.4700000000003</v>
      </c>
      <c r="D19" s="14">
        <v>841.31976923076911</v>
      </c>
      <c r="E19" s="14">
        <v>274.01</v>
      </c>
      <c r="F19" s="15">
        <v>6.9758767928177816</v>
      </c>
      <c r="H19" s="1">
        <v>44585</v>
      </c>
      <c r="I19" s="11">
        <v>89.29</v>
      </c>
      <c r="K19" t="s">
        <v>31</v>
      </c>
      <c r="L19" s="11">
        <v>5536.3900000000012</v>
      </c>
    </row>
    <row r="20" spans="1:13">
      <c r="A20" t="s">
        <v>10</v>
      </c>
      <c r="B20" t="s">
        <v>55</v>
      </c>
      <c r="C20" s="14">
        <v>1721.52</v>
      </c>
      <c r="D20" s="14">
        <v>841.31976923076911</v>
      </c>
      <c r="E20" s="14">
        <v>1166.76</v>
      </c>
      <c r="F20" s="15">
        <v>0.47547053378586857</v>
      </c>
      <c r="H20" s="1">
        <v>44587</v>
      </c>
      <c r="I20" s="11">
        <v>141.91999999999999</v>
      </c>
      <c r="K20" t="s">
        <v>32</v>
      </c>
      <c r="L20" s="11">
        <v>7451.5000000000009</v>
      </c>
    </row>
    <row r="21" spans="1:13">
      <c r="A21" t="s">
        <v>10</v>
      </c>
      <c r="B21" t="s">
        <v>56</v>
      </c>
      <c r="C21" s="14">
        <v>1170.8000000000002</v>
      </c>
      <c r="D21" s="14">
        <v>1682.6395384615382</v>
      </c>
      <c r="E21" s="14">
        <v>491.53</v>
      </c>
      <c r="F21" s="15">
        <v>1.3819502370150352</v>
      </c>
      <c r="H21" s="1">
        <v>44588</v>
      </c>
      <c r="I21" s="11">
        <v>192.17000000000002</v>
      </c>
      <c r="K21" t="s">
        <v>33</v>
      </c>
      <c r="L21" s="11">
        <v>7062.15</v>
      </c>
    </row>
    <row r="22" spans="1:13">
      <c r="A22" t="s">
        <v>10</v>
      </c>
      <c r="B22" t="s">
        <v>57</v>
      </c>
      <c r="C22" s="14">
        <v>491.53</v>
      </c>
      <c r="D22" s="14">
        <v>4206.5988461538454</v>
      </c>
      <c r="E22" s="14">
        <v>0</v>
      </c>
      <c r="F22" s="15">
        <v>0</v>
      </c>
      <c r="H22" s="1">
        <v>44589</v>
      </c>
      <c r="I22" s="11">
        <v>65.17</v>
      </c>
      <c r="K22" t="s">
        <v>34</v>
      </c>
      <c r="L22" s="11">
        <v>7339.1499999999987</v>
      </c>
    </row>
    <row r="23" spans="1:13">
      <c r="A23" t="s">
        <v>10</v>
      </c>
      <c r="B23" t="s">
        <v>58</v>
      </c>
      <c r="C23" s="14">
        <v>1166.76</v>
      </c>
      <c r="D23" s="14">
        <v>1682.6395384615382</v>
      </c>
      <c r="E23" s="14">
        <v>761.09999999999991</v>
      </c>
      <c r="F23" s="15">
        <v>0.53299172250689808</v>
      </c>
      <c r="H23" s="1">
        <v>44590</v>
      </c>
      <c r="I23" s="11">
        <v>176.73</v>
      </c>
      <c r="K23" t="s">
        <v>35</v>
      </c>
      <c r="L23" s="11">
        <v>8884.9999999999982</v>
      </c>
    </row>
    <row r="24" spans="1:13">
      <c r="A24" t="s">
        <v>10</v>
      </c>
      <c r="B24" t="s">
        <v>59</v>
      </c>
      <c r="C24" s="14">
        <v>761.09999999999991</v>
      </c>
      <c r="D24" s="14">
        <v>1402.1996153846153</v>
      </c>
      <c r="E24" s="14">
        <v>2645.1499999999996</v>
      </c>
      <c r="F24" s="15">
        <v>-0.71226584503714341</v>
      </c>
      <c r="H24" s="1">
        <v>44592</v>
      </c>
      <c r="I24" s="11">
        <v>155.16</v>
      </c>
      <c r="K24" t="s">
        <v>36</v>
      </c>
      <c r="L24" s="11">
        <v>7019.5599999999995</v>
      </c>
    </row>
    <row r="25" spans="1:13">
      <c r="A25" t="s">
        <v>10</v>
      </c>
      <c r="B25" t="s">
        <v>60</v>
      </c>
      <c r="C25" s="14">
        <v>274.01</v>
      </c>
      <c r="D25" s="14">
        <v>2804.3992307692306</v>
      </c>
      <c r="E25" s="14">
        <v>1170.8000000000002</v>
      </c>
      <c r="F25" s="15">
        <v>-0.76596344379911174</v>
      </c>
      <c r="H25" s="1">
        <v>44593</v>
      </c>
      <c r="I25" s="11">
        <v>202.9</v>
      </c>
      <c r="K25" t="s">
        <v>37</v>
      </c>
      <c r="L25" s="11">
        <v>8754.4399999999987</v>
      </c>
    </row>
    <row r="26" spans="1:13">
      <c r="A26" t="s">
        <v>10</v>
      </c>
      <c r="B26" t="s">
        <v>61</v>
      </c>
      <c r="C26" s="14">
        <v>2645.1499999999996</v>
      </c>
      <c r="D26" s="14">
        <v>764.83615384615382</v>
      </c>
      <c r="E26" s="14">
        <v>2185.4700000000003</v>
      </c>
      <c r="F26" s="15">
        <v>0.21033461909795118</v>
      </c>
      <c r="H26" s="1">
        <v>44594</v>
      </c>
      <c r="I26" s="11">
        <v>88.26</v>
      </c>
      <c r="K26" t="s">
        <v>38</v>
      </c>
      <c r="L26" s="11">
        <v>6881.0999999999976</v>
      </c>
    </row>
    <row r="27" spans="1:13">
      <c r="A27" t="s">
        <v>19</v>
      </c>
      <c r="B27" t="s">
        <v>54</v>
      </c>
      <c r="C27" s="14">
        <v>377.24</v>
      </c>
      <c r="D27" s="14">
        <v>2364.905925925927</v>
      </c>
      <c r="E27" s="14">
        <v>1095.8999999999999</v>
      </c>
      <c r="F27" s="15">
        <v>-0.65577151199926997</v>
      </c>
      <c r="H27" s="1">
        <v>44595</v>
      </c>
      <c r="I27" s="11">
        <v>602.98</v>
      </c>
    </row>
    <row r="28" spans="1:13">
      <c r="A28" t="s">
        <v>19</v>
      </c>
      <c r="B28" t="s">
        <v>55</v>
      </c>
      <c r="C28" s="14">
        <v>753.67000000000007</v>
      </c>
      <c r="D28" s="14">
        <v>1418.943555555556</v>
      </c>
      <c r="E28" s="14">
        <v>1767.0500000000002</v>
      </c>
      <c r="F28" s="15">
        <v>-0.57348688492119637</v>
      </c>
      <c r="H28" s="1">
        <v>44597</v>
      </c>
      <c r="I28" s="11">
        <v>951.04</v>
      </c>
      <c r="K28" s="9" t="s">
        <v>67</v>
      </c>
    </row>
    <row r="29" spans="1:13">
      <c r="A29" t="s">
        <v>19</v>
      </c>
      <c r="B29" t="s">
        <v>56</v>
      </c>
      <c r="C29" s="14">
        <v>519.11</v>
      </c>
      <c r="D29" s="14">
        <v>1773.6794444444454</v>
      </c>
      <c r="E29" s="14">
        <v>1368.74</v>
      </c>
      <c r="F29" s="15">
        <v>-0.62073878165319929</v>
      </c>
      <c r="H29" s="1">
        <v>44598</v>
      </c>
      <c r="I29" s="11">
        <v>67.430000000000007</v>
      </c>
      <c r="K29" s="9" t="s">
        <v>26</v>
      </c>
      <c r="L29" s="9" t="s">
        <v>27</v>
      </c>
      <c r="M29" t="s">
        <v>28</v>
      </c>
    </row>
    <row r="30" spans="1:13">
      <c r="A30" t="s">
        <v>19</v>
      </c>
      <c r="B30" t="s">
        <v>57</v>
      </c>
      <c r="C30" s="14">
        <v>1368.74</v>
      </c>
      <c r="D30" s="14">
        <v>1418.943555555556</v>
      </c>
      <c r="E30" s="14">
        <v>0</v>
      </c>
      <c r="F30" s="15">
        <v>0</v>
      </c>
      <c r="H30" s="1">
        <v>44600</v>
      </c>
      <c r="I30" s="11">
        <v>924.76</v>
      </c>
      <c r="K30" t="s">
        <v>31</v>
      </c>
      <c r="L30" t="s">
        <v>43</v>
      </c>
      <c r="M30">
        <v>7</v>
      </c>
    </row>
    <row r="31" spans="1:13">
      <c r="A31" t="s">
        <v>19</v>
      </c>
      <c r="B31" t="s">
        <v>58</v>
      </c>
      <c r="C31" s="14">
        <v>1767.0500000000002</v>
      </c>
      <c r="D31" s="14">
        <v>709.47177777777802</v>
      </c>
      <c r="E31" s="14">
        <v>1655.98</v>
      </c>
      <c r="F31" s="15">
        <v>6.7072066087754775E-2</v>
      </c>
      <c r="H31" s="1">
        <v>44601</v>
      </c>
      <c r="I31" s="11">
        <v>734.92000000000007</v>
      </c>
      <c r="K31" t="s">
        <v>32</v>
      </c>
      <c r="L31" t="s">
        <v>41</v>
      </c>
      <c r="M31">
        <v>3</v>
      </c>
    </row>
    <row r="32" spans="1:13">
      <c r="A32" t="s">
        <v>19</v>
      </c>
      <c r="B32" t="s">
        <v>59</v>
      </c>
      <c r="C32" s="14">
        <v>1655.98</v>
      </c>
      <c r="D32" s="14">
        <v>591.22648148148176</v>
      </c>
      <c r="E32" s="14">
        <v>1584.09</v>
      </c>
      <c r="F32" s="15">
        <v>4.5382522457688708E-2</v>
      </c>
      <c r="H32" s="1">
        <v>44603</v>
      </c>
      <c r="I32" s="11">
        <v>931.31999999999994</v>
      </c>
      <c r="K32" t="s">
        <v>32</v>
      </c>
      <c r="L32" t="s">
        <v>42</v>
      </c>
      <c r="M32">
        <v>4</v>
      </c>
    </row>
    <row r="33" spans="1:13">
      <c r="A33" t="s">
        <v>19</v>
      </c>
      <c r="B33" t="s">
        <v>60</v>
      </c>
      <c r="C33" s="14">
        <v>1095.8999999999999</v>
      </c>
      <c r="D33" s="14">
        <v>1418.943555555556</v>
      </c>
      <c r="E33" s="14">
        <v>519.11</v>
      </c>
      <c r="F33" s="15">
        <v>1.1111132515266511</v>
      </c>
      <c r="H33" s="1">
        <v>44604</v>
      </c>
      <c r="I33" s="11">
        <v>290.45</v>
      </c>
      <c r="K33" t="s">
        <v>33</v>
      </c>
      <c r="L33" t="s">
        <v>41</v>
      </c>
      <c r="M33">
        <v>4</v>
      </c>
    </row>
    <row r="34" spans="1:13">
      <c r="A34" t="s">
        <v>19</v>
      </c>
      <c r="B34" t="s">
        <v>61</v>
      </c>
      <c r="C34" s="14">
        <v>1584.09</v>
      </c>
      <c r="D34" s="14">
        <v>709.47177777777802</v>
      </c>
      <c r="E34" s="14">
        <v>377.24</v>
      </c>
      <c r="F34" s="15">
        <v>3.1991570353090868</v>
      </c>
      <c r="H34" s="1">
        <v>44605</v>
      </c>
      <c r="I34" s="11">
        <v>446.41999999999996</v>
      </c>
      <c r="K34" t="s">
        <v>33</v>
      </c>
      <c r="L34" t="s">
        <v>42</v>
      </c>
      <c r="M34">
        <v>3</v>
      </c>
    </row>
    <row r="35" spans="1:13">
      <c r="A35" t="s">
        <v>23</v>
      </c>
      <c r="B35" t="s">
        <v>54</v>
      </c>
      <c r="C35" s="14">
        <v>1623.23</v>
      </c>
      <c r="D35" s="14">
        <v>1402.9947272727277</v>
      </c>
      <c r="E35" s="14">
        <v>1922.5800000000002</v>
      </c>
      <c r="F35" s="15">
        <v>-0.15570223345712539</v>
      </c>
      <c r="H35" s="1">
        <v>44606</v>
      </c>
      <c r="I35" s="11">
        <v>336.15000000000003</v>
      </c>
      <c r="K35" t="s">
        <v>34</v>
      </c>
      <c r="L35" t="s">
        <v>41</v>
      </c>
      <c r="M35">
        <v>3</v>
      </c>
    </row>
    <row r="36" spans="1:13">
      <c r="A36" t="s">
        <v>23</v>
      </c>
      <c r="B36" t="s">
        <v>55</v>
      </c>
      <c r="C36" s="14">
        <v>1328.57</v>
      </c>
      <c r="D36" s="14">
        <v>1052.2460454545458</v>
      </c>
      <c r="E36" s="14">
        <v>1698.9899999999998</v>
      </c>
      <c r="F36" s="15">
        <v>-0.21802364934461055</v>
      </c>
      <c r="H36" s="1">
        <v>44608</v>
      </c>
      <c r="I36" s="11">
        <v>129.05000000000001</v>
      </c>
      <c r="K36" t="s">
        <v>34</v>
      </c>
      <c r="L36" t="s">
        <v>42</v>
      </c>
      <c r="M36">
        <v>4</v>
      </c>
    </row>
    <row r="37" spans="1:13">
      <c r="A37" t="s">
        <v>23</v>
      </c>
      <c r="B37" t="s">
        <v>56</v>
      </c>
      <c r="C37" s="14">
        <v>1770.3600000000001</v>
      </c>
      <c r="D37" s="14">
        <v>1052.2460454545458</v>
      </c>
      <c r="E37" s="14">
        <v>241.89999999999998</v>
      </c>
      <c r="F37" s="15">
        <v>6.3185613890037216</v>
      </c>
      <c r="H37" s="1">
        <v>44610</v>
      </c>
      <c r="I37" s="11">
        <v>136.5</v>
      </c>
      <c r="K37" t="s">
        <v>35</v>
      </c>
      <c r="L37" t="s">
        <v>41</v>
      </c>
      <c r="M37">
        <v>3</v>
      </c>
    </row>
    <row r="38" spans="1:13">
      <c r="A38" t="s">
        <v>23</v>
      </c>
      <c r="B38" t="s">
        <v>57</v>
      </c>
      <c r="C38" s="14">
        <v>241.89999999999998</v>
      </c>
      <c r="D38" s="14">
        <v>4208.9841818181831</v>
      </c>
      <c r="E38" s="14">
        <v>0</v>
      </c>
      <c r="F38" s="15">
        <v>0</v>
      </c>
      <c r="H38" s="1">
        <v>44611</v>
      </c>
      <c r="I38" s="11">
        <v>48.25</v>
      </c>
      <c r="K38" t="s">
        <v>35</v>
      </c>
      <c r="L38" t="s">
        <v>42</v>
      </c>
      <c r="M38">
        <v>4</v>
      </c>
    </row>
    <row r="39" spans="1:13">
      <c r="A39" t="s">
        <v>23</v>
      </c>
      <c r="B39" t="s">
        <v>58</v>
      </c>
      <c r="C39" s="14">
        <v>1698.9899999999998</v>
      </c>
      <c r="D39" s="14">
        <v>1202.5669090909096</v>
      </c>
      <c r="E39" s="14">
        <v>2252.73</v>
      </c>
      <c r="F39" s="15">
        <v>-0.24580841911813675</v>
      </c>
      <c r="H39" s="1">
        <v>44612</v>
      </c>
      <c r="I39" s="11">
        <v>276.45999999999998</v>
      </c>
      <c r="K39" t="s">
        <v>36</v>
      </c>
      <c r="L39" t="s">
        <v>41</v>
      </c>
      <c r="M39">
        <v>4</v>
      </c>
    </row>
    <row r="40" spans="1:13">
      <c r="A40" t="s">
        <v>23</v>
      </c>
      <c r="B40" t="s">
        <v>59</v>
      </c>
      <c r="C40" s="14">
        <v>2252.73</v>
      </c>
      <c r="D40" s="14">
        <v>765.26985123966961</v>
      </c>
      <c r="E40" s="14">
        <v>185.17000000000002</v>
      </c>
      <c r="F40" s="15">
        <v>11.165739590646432</v>
      </c>
      <c r="H40" s="1">
        <v>44613</v>
      </c>
      <c r="I40" s="11">
        <v>608.76</v>
      </c>
      <c r="K40" t="s">
        <v>36</v>
      </c>
      <c r="L40" t="s">
        <v>42</v>
      </c>
      <c r="M40">
        <v>3</v>
      </c>
    </row>
    <row r="41" spans="1:13">
      <c r="A41" t="s">
        <v>23</v>
      </c>
      <c r="B41" t="s">
        <v>60</v>
      </c>
      <c r="C41" s="14">
        <v>1922.5800000000002</v>
      </c>
      <c r="D41" s="14">
        <v>841.79683636363654</v>
      </c>
      <c r="E41" s="14">
        <v>1770.3600000000001</v>
      </c>
      <c r="F41" s="15">
        <v>8.5982512031451241E-2</v>
      </c>
      <c r="H41" s="1">
        <v>44615</v>
      </c>
      <c r="I41" s="11">
        <v>127.61</v>
      </c>
      <c r="K41" t="s">
        <v>37</v>
      </c>
      <c r="L41" t="s">
        <v>41</v>
      </c>
      <c r="M41">
        <v>2</v>
      </c>
    </row>
    <row r="42" spans="1:13">
      <c r="A42" t="s">
        <v>23</v>
      </c>
      <c r="B42" t="s">
        <v>61</v>
      </c>
      <c r="C42" s="14">
        <v>185.17000000000002</v>
      </c>
      <c r="D42" s="14">
        <v>2805.9894545454554</v>
      </c>
      <c r="E42" s="14">
        <v>1623.23</v>
      </c>
      <c r="F42" s="15">
        <v>-0.88592497674389947</v>
      </c>
      <c r="H42" s="1">
        <v>44617</v>
      </c>
      <c r="I42" s="11">
        <v>273.35000000000002</v>
      </c>
      <c r="K42" t="s">
        <v>37</v>
      </c>
      <c r="L42" t="s">
        <v>42</v>
      </c>
      <c r="M42">
        <v>5</v>
      </c>
    </row>
    <row r="43" spans="1:13">
      <c r="A43" t="s">
        <v>13</v>
      </c>
      <c r="B43" t="s">
        <v>54</v>
      </c>
      <c r="C43" s="14">
        <v>972.89</v>
      </c>
      <c r="D43" s="14">
        <v>1516.9579090909092</v>
      </c>
      <c r="E43" s="14">
        <v>522.87</v>
      </c>
      <c r="F43" s="15">
        <v>0.86067282498517794</v>
      </c>
      <c r="H43" s="1">
        <v>44619</v>
      </c>
      <c r="I43" s="11">
        <v>89.41</v>
      </c>
      <c r="K43" t="s">
        <v>38</v>
      </c>
      <c r="L43" t="s">
        <v>41</v>
      </c>
      <c r="M43">
        <v>4</v>
      </c>
    </row>
    <row r="44" spans="1:13">
      <c r="A44" t="s">
        <v>13</v>
      </c>
      <c r="B44" t="s">
        <v>55</v>
      </c>
      <c r="C44" s="14">
        <v>652.12</v>
      </c>
      <c r="D44" s="14">
        <v>1896.1973863636363</v>
      </c>
      <c r="E44" s="14">
        <v>1653.05</v>
      </c>
      <c r="F44" s="15">
        <v>-0.6055049756510692</v>
      </c>
      <c r="H44" s="1">
        <v>44620</v>
      </c>
      <c r="I44" s="11">
        <v>185.48</v>
      </c>
      <c r="K44" t="s">
        <v>38</v>
      </c>
      <c r="L44" t="s">
        <v>42</v>
      </c>
      <c r="M44">
        <v>3</v>
      </c>
    </row>
    <row r="45" spans="1:13">
      <c r="A45" t="s">
        <v>13</v>
      </c>
      <c r="B45" t="s">
        <v>56</v>
      </c>
      <c r="C45" s="14">
        <v>738.18000000000006</v>
      </c>
      <c r="D45" s="14">
        <v>1264.1315909090908</v>
      </c>
      <c r="E45" s="14">
        <v>882.82999999999993</v>
      </c>
      <c r="F45" s="15">
        <v>-0.16384807947169883</v>
      </c>
      <c r="H45" s="1">
        <v>44622</v>
      </c>
      <c r="I45" s="11">
        <v>1042.5999999999999</v>
      </c>
    </row>
    <row r="46" spans="1:13">
      <c r="A46" t="s">
        <v>13</v>
      </c>
      <c r="B46" t="s">
        <v>57</v>
      </c>
      <c r="C46" s="14">
        <v>882.82999999999993</v>
      </c>
      <c r="D46" s="14">
        <v>1896.1973863636363</v>
      </c>
      <c r="E46" s="14">
        <v>0</v>
      </c>
      <c r="F46" s="15">
        <v>0</v>
      </c>
      <c r="H46" s="1">
        <v>44623</v>
      </c>
      <c r="I46" s="11">
        <v>318.33</v>
      </c>
    </row>
    <row r="47" spans="1:13">
      <c r="A47" t="s">
        <v>13</v>
      </c>
      <c r="B47" t="s">
        <v>58</v>
      </c>
      <c r="C47" s="14">
        <v>1653.05</v>
      </c>
      <c r="D47" s="14">
        <v>842.75439393939394</v>
      </c>
      <c r="E47" s="14">
        <v>585.20999999999992</v>
      </c>
      <c r="F47" s="15">
        <v>1.8247124963688253</v>
      </c>
      <c r="H47" s="1">
        <v>44624</v>
      </c>
      <c r="I47" s="11">
        <v>182.35</v>
      </c>
    </row>
    <row r="48" spans="1:13">
      <c r="A48" t="s">
        <v>13</v>
      </c>
      <c r="B48" t="s">
        <v>59</v>
      </c>
      <c r="C48" s="14">
        <v>585.20999999999992</v>
      </c>
      <c r="D48" s="14">
        <v>1896.1973863636363</v>
      </c>
      <c r="E48" s="14">
        <v>1938.8200000000002</v>
      </c>
      <c r="F48" s="15">
        <v>-0.69816176849836498</v>
      </c>
      <c r="H48" s="1">
        <v>44627</v>
      </c>
      <c r="I48" s="11">
        <v>805.04</v>
      </c>
    </row>
    <row r="49" spans="1:9">
      <c r="A49" t="s">
        <v>13</v>
      </c>
      <c r="B49" t="s">
        <v>60</v>
      </c>
      <c r="C49" s="14">
        <v>522.87</v>
      </c>
      <c r="D49" s="14">
        <v>3792.3947727272725</v>
      </c>
      <c r="E49" s="14">
        <v>738.18000000000006</v>
      </c>
      <c r="F49" s="15">
        <v>-0.29167682679021384</v>
      </c>
      <c r="H49" s="1">
        <v>44629</v>
      </c>
      <c r="I49" s="11">
        <v>246.17</v>
      </c>
    </row>
    <row r="50" spans="1:9">
      <c r="A50" t="s">
        <v>13</v>
      </c>
      <c r="B50" t="s">
        <v>61</v>
      </c>
      <c r="C50" s="14">
        <v>1938.8200000000002</v>
      </c>
      <c r="D50" s="14">
        <v>758.4789545454546</v>
      </c>
      <c r="E50" s="14">
        <v>972.89</v>
      </c>
      <c r="F50" s="15">
        <v>0.99284605659427083</v>
      </c>
      <c r="H50" s="1">
        <v>44630</v>
      </c>
      <c r="I50" s="11">
        <v>371.81000000000006</v>
      </c>
    </row>
    <row r="51" spans="1:9">
      <c r="A51" t="s">
        <v>20</v>
      </c>
      <c r="B51" t="s">
        <v>54</v>
      </c>
      <c r="C51" s="14">
        <v>740.37</v>
      </c>
      <c r="D51" s="14">
        <v>1556.7479999999998</v>
      </c>
      <c r="E51" s="14">
        <v>690.2</v>
      </c>
      <c r="F51" s="15">
        <v>7.2689075630252037E-2</v>
      </c>
      <c r="H51" s="1">
        <v>44631</v>
      </c>
      <c r="I51" s="11">
        <v>244.66</v>
      </c>
    </row>
    <row r="52" spans="1:9">
      <c r="A52" t="s">
        <v>20</v>
      </c>
      <c r="B52" t="s">
        <v>55</v>
      </c>
      <c r="C52" s="14">
        <v>507.65</v>
      </c>
      <c r="D52" s="14">
        <v>1945.9349999999999</v>
      </c>
      <c r="E52" s="14">
        <v>1056.4100000000001</v>
      </c>
      <c r="F52" s="15">
        <v>-0.51945740763529313</v>
      </c>
      <c r="H52" s="1">
        <v>44633</v>
      </c>
      <c r="I52" s="11">
        <v>795.57999999999993</v>
      </c>
    </row>
    <row r="53" spans="1:9">
      <c r="A53" t="s">
        <v>20</v>
      </c>
      <c r="B53" t="s">
        <v>56</v>
      </c>
      <c r="C53" s="14">
        <v>1484.3899999999999</v>
      </c>
      <c r="D53" s="14">
        <v>1111.962857142857</v>
      </c>
      <c r="E53" s="14">
        <v>680.2299999999999</v>
      </c>
      <c r="F53" s="15">
        <v>1.1821883774605648</v>
      </c>
      <c r="H53" s="1">
        <v>44634</v>
      </c>
      <c r="I53" s="11">
        <v>244.72</v>
      </c>
    </row>
    <row r="54" spans="1:9">
      <c r="A54" t="s">
        <v>20</v>
      </c>
      <c r="B54" t="s">
        <v>57</v>
      </c>
      <c r="C54" s="14">
        <v>680.2299999999999</v>
      </c>
      <c r="D54" s="14">
        <v>1556.7479999999998</v>
      </c>
      <c r="E54" s="14">
        <v>0</v>
      </c>
      <c r="F54" s="15">
        <v>0</v>
      </c>
      <c r="H54" s="1">
        <v>44636</v>
      </c>
      <c r="I54" s="11">
        <v>123.89</v>
      </c>
    </row>
    <row r="55" spans="1:9">
      <c r="A55" t="s">
        <v>20</v>
      </c>
      <c r="B55" t="s">
        <v>58</v>
      </c>
      <c r="C55" s="14">
        <v>1056.4100000000001</v>
      </c>
      <c r="D55" s="14">
        <v>1945.9349999999999</v>
      </c>
      <c r="E55" s="14">
        <v>46.75</v>
      </c>
      <c r="F55" s="15">
        <v>21.597005347593583</v>
      </c>
      <c r="H55" s="1">
        <v>44637</v>
      </c>
      <c r="I55" s="11">
        <v>209.95</v>
      </c>
    </row>
    <row r="56" spans="1:9">
      <c r="A56" t="s">
        <v>20</v>
      </c>
      <c r="B56" t="s">
        <v>59</v>
      </c>
      <c r="C56" s="14">
        <v>46.75</v>
      </c>
      <c r="D56" s="14">
        <v>7783.74</v>
      </c>
      <c r="E56" s="14">
        <v>1280.45</v>
      </c>
      <c r="F56" s="15">
        <v>-0.96348939825842472</v>
      </c>
      <c r="H56" s="1">
        <v>44638</v>
      </c>
      <c r="I56" s="11">
        <v>197.20999999999998</v>
      </c>
    </row>
    <row r="57" spans="1:9">
      <c r="A57" t="s">
        <v>20</v>
      </c>
      <c r="B57" t="s">
        <v>60</v>
      </c>
      <c r="C57" s="14">
        <v>690.2</v>
      </c>
      <c r="D57" s="14">
        <v>1945.9349999999999</v>
      </c>
      <c r="E57" s="14">
        <v>1484.3899999999999</v>
      </c>
      <c r="F57" s="15">
        <v>-0.53502785656060736</v>
      </c>
      <c r="H57" s="1">
        <v>44640</v>
      </c>
      <c r="I57" s="11">
        <v>394.01</v>
      </c>
    </row>
    <row r="58" spans="1:9">
      <c r="A58" t="s">
        <v>20</v>
      </c>
      <c r="B58" t="s">
        <v>61</v>
      </c>
      <c r="C58" s="14">
        <v>1280.45</v>
      </c>
      <c r="D58" s="14">
        <v>1556.7479999999998</v>
      </c>
      <c r="E58" s="14">
        <v>740.37</v>
      </c>
      <c r="F58" s="15">
        <v>0.72947310128719434</v>
      </c>
      <c r="H58" s="1">
        <v>44641</v>
      </c>
      <c r="I58" s="11">
        <v>134.53</v>
      </c>
    </row>
    <row r="59" spans="1:9">
      <c r="H59" s="1">
        <v>44642</v>
      </c>
      <c r="I59" s="11">
        <v>214</v>
      </c>
    </row>
    <row r="60" spans="1:9">
      <c r="H60" s="1">
        <v>44643</v>
      </c>
      <c r="I60" s="11">
        <v>366.29999999999995</v>
      </c>
    </row>
    <row r="61" spans="1:9">
      <c r="H61" s="1">
        <v>44644</v>
      </c>
      <c r="I61" s="11">
        <v>443.56</v>
      </c>
    </row>
    <row r="62" spans="1:9">
      <c r="H62" s="1">
        <v>44645</v>
      </c>
      <c r="I62" s="11">
        <v>94.04</v>
      </c>
    </row>
    <row r="63" spans="1:9">
      <c r="H63" s="1">
        <v>44646</v>
      </c>
      <c r="I63" s="11">
        <v>54.26</v>
      </c>
    </row>
    <row r="64" spans="1:9">
      <c r="H64" s="1">
        <v>44647</v>
      </c>
      <c r="I64" s="11">
        <v>89.01</v>
      </c>
    </row>
    <row r="65" spans="8:9">
      <c r="H65" s="1">
        <v>44648</v>
      </c>
      <c r="I65" s="11">
        <v>246.33999999999997</v>
      </c>
    </row>
    <row r="66" spans="8:9">
      <c r="H66" s="1">
        <v>44649</v>
      </c>
      <c r="I66" s="11">
        <v>243.79</v>
      </c>
    </row>
    <row r="67" spans="8:9">
      <c r="H67" s="1">
        <v>44652</v>
      </c>
      <c r="I67" s="11">
        <v>112.85</v>
      </c>
    </row>
    <row r="68" spans="8:9">
      <c r="H68" s="1">
        <v>44654</v>
      </c>
      <c r="I68" s="11">
        <v>40.32</v>
      </c>
    </row>
    <row r="69" spans="8:9">
      <c r="H69" s="1">
        <v>44656</v>
      </c>
      <c r="I69" s="11">
        <v>397.29</v>
      </c>
    </row>
    <row r="70" spans="8:9">
      <c r="H70" s="1">
        <v>44659</v>
      </c>
      <c r="I70" s="11">
        <v>622.77</v>
      </c>
    </row>
    <row r="71" spans="8:9">
      <c r="H71" s="1">
        <v>44662</v>
      </c>
      <c r="I71" s="11">
        <v>550.43000000000006</v>
      </c>
    </row>
    <row r="72" spans="8:9">
      <c r="H72" s="1">
        <v>44663</v>
      </c>
      <c r="I72" s="11">
        <v>161.49</v>
      </c>
    </row>
    <row r="73" spans="8:9">
      <c r="H73" s="1">
        <v>44664</v>
      </c>
      <c r="I73" s="11">
        <v>294.16000000000003</v>
      </c>
    </row>
    <row r="74" spans="8:9">
      <c r="H74" s="1">
        <v>44665</v>
      </c>
      <c r="I74" s="11">
        <v>409.43</v>
      </c>
    </row>
    <row r="75" spans="8:9">
      <c r="H75" s="1">
        <v>44667</v>
      </c>
      <c r="I75" s="11">
        <v>141.33000000000001</v>
      </c>
    </row>
    <row r="76" spans="8:9">
      <c r="H76" s="1">
        <v>44668</v>
      </c>
      <c r="I76" s="11">
        <v>342.89000000000004</v>
      </c>
    </row>
    <row r="77" spans="8:9">
      <c r="H77" s="1">
        <v>44670</v>
      </c>
      <c r="I77" s="11">
        <v>551.80000000000007</v>
      </c>
    </row>
    <row r="78" spans="8:9">
      <c r="H78" s="1">
        <v>44671</v>
      </c>
      <c r="I78" s="11">
        <v>396.99</v>
      </c>
    </row>
    <row r="79" spans="8:9">
      <c r="H79" s="1">
        <v>44673</v>
      </c>
      <c r="I79" s="11">
        <v>523.17999999999995</v>
      </c>
    </row>
    <row r="80" spans="8:9">
      <c r="H80" s="1">
        <v>44674</v>
      </c>
      <c r="I80" s="11">
        <v>96.7</v>
      </c>
    </row>
    <row r="81" spans="8:9">
      <c r="H81" s="1">
        <v>44675</v>
      </c>
      <c r="I81" s="11">
        <v>318.47000000000003</v>
      </c>
    </row>
    <row r="82" spans="8:9">
      <c r="H82" s="1">
        <v>44676</v>
      </c>
      <c r="I82" s="11">
        <v>64.41</v>
      </c>
    </row>
    <row r="83" spans="8:9">
      <c r="H83" s="1">
        <v>44677</v>
      </c>
      <c r="I83" s="11">
        <v>802.92000000000007</v>
      </c>
    </row>
    <row r="84" spans="8:9">
      <c r="H84" s="1">
        <v>44678</v>
      </c>
      <c r="I84" s="11">
        <v>1069.3399999999999</v>
      </c>
    </row>
    <row r="85" spans="8:9">
      <c r="H85" s="1">
        <v>44680</v>
      </c>
      <c r="I85" s="11">
        <v>295.77999999999997</v>
      </c>
    </row>
    <row r="86" spans="8:9">
      <c r="H86" s="1">
        <v>44681</v>
      </c>
      <c r="I86" s="11">
        <v>146.6</v>
      </c>
    </row>
    <row r="87" spans="8:9">
      <c r="H87" s="1">
        <v>44683</v>
      </c>
      <c r="I87" s="11">
        <v>260.35000000000002</v>
      </c>
    </row>
    <row r="88" spans="8:9">
      <c r="H88" s="1">
        <v>44684</v>
      </c>
      <c r="I88" s="11">
        <v>367</v>
      </c>
    </row>
    <row r="89" spans="8:9">
      <c r="H89" s="1">
        <v>44685</v>
      </c>
      <c r="I89" s="11">
        <v>142.63</v>
      </c>
    </row>
    <row r="90" spans="8:9">
      <c r="H90" s="1">
        <v>44686</v>
      </c>
      <c r="I90" s="11">
        <v>345.67</v>
      </c>
    </row>
    <row r="91" spans="8:9">
      <c r="H91" s="1">
        <v>44687</v>
      </c>
      <c r="I91" s="11">
        <v>178.45</v>
      </c>
    </row>
    <row r="92" spans="8:9">
      <c r="H92" s="1">
        <v>44690</v>
      </c>
      <c r="I92" s="11">
        <v>259.84000000000003</v>
      </c>
    </row>
    <row r="93" spans="8:9">
      <c r="H93" s="1">
        <v>44693</v>
      </c>
      <c r="I93" s="11">
        <v>192.59</v>
      </c>
    </row>
    <row r="94" spans="8:9">
      <c r="H94" s="1">
        <v>44694</v>
      </c>
      <c r="I94" s="11">
        <v>134.85</v>
      </c>
    </row>
    <row r="95" spans="8:9">
      <c r="H95" s="1">
        <v>44695</v>
      </c>
      <c r="I95" s="11">
        <v>648.25</v>
      </c>
    </row>
    <row r="96" spans="8:9">
      <c r="H96" s="1">
        <v>44696</v>
      </c>
      <c r="I96" s="11">
        <v>471.36</v>
      </c>
    </row>
    <row r="97" spans="8:9">
      <c r="H97" s="1">
        <v>44697</v>
      </c>
      <c r="I97" s="11">
        <v>136.59</v>
      </c>
    </row>
    <row r="98" spans="8:9">
      <c r="H98" s="1">
        <v>44698</v>
      </c>
      <c r="I98" s="11">
        <v>339.14</v>
      </c>
    </row>
    <row r="99" spans="8:9">
      <c r="H99" s="1">
        <v>44699</v>
      </c>
      <c r="I99" s="11">
        <v>445.21999999999997</v>
      </c>
    </row>
    <row r="100" spans="8:9">
      <c r="H100" s="1">
        <v>44700</v>
      </c>
      <c r="I100" s="11">
        <v>79.459999999999994</v>
      </c>
    </row>
    <row r="101" spans="8:9">
      <c r="H101" s="1">
        <v>44701</v>
      </c>
      <c r="I101" s="11">
        <v>426.02</v>
      </c>
    </row>
    <row r="102" spans="8:9">
      <c r="H102" s="1">
        <v>44702</v>
      </c>
      <c r="I102" s="11">
        <v>429</v>
      </c>
    </row>
    <row r="103" spans="8:9">
      <c r="H103" s="1">
        <v>44704</v>
      </c>
      <c r="I103" s="11">
        <v>838.6</v>
      </c>
    </row>
    <row r="104" spans="8:9">
      <c r="H104" s="1">
        <v>44705</v>
      </c>
      <c r="I104" s="11">
        <v>468.9</v>
      </c>
    </row>
    <row r="105" spans="8:9">
      <c r="H105" s="1">
        <v>44706</v>
      </c>
      <c r="I105" s="11">
        <v>197.08999999999997</v>
      </c>
    </row>
    <row r="106" spans="8:9">
      <c r="H106" s="1">
        <v>44707</v>
      </c>
      <c r="I106" s="11">
        <v>155.31</v>
      </c>
    </row>
    <row r="107" spans="8:9">
      <c r="H107" s="1">
        <v>44708</v>
      </c>
      <c r="I107" s="11">
        <v>151.09</v>
      </c>
    </row>
    <row r="108" spans="8:9">
      <c r="H108" s="1">
        <v>44709</v>
      </c>
      <c r="I108" s="11">
        <v>708.93000000000006</v>
      </c>
    </row>
    <row r="109" spans="8:9">
      <c r="H109" s="1">
        <v>44710</v>
      </c>
      <c r="I109" s="11">
        <v>629.54999999999995</v>
      </c>
    </row>
    <row r="110" spans="8:9">
      <c r="H110" s="1">
        <v>44711</v>
      </c>
      <c r="I110" s="11">
        <v>123.12</v>
      </c>
    </row>
    <row r="111" spans="8:9">
      <c r="H111" s="1">
        <v>44712</v>
      </c>
      <c r="I111" s="11">
        <v>755.99</v>
      </c>
    </row>
    <row r="112" spans="8:9">
      <c r="H112" s="1">
        <v>44714</v>
      </c>
      <c r="I112" s="11">
        <v>149.85</v>
      </c>
    </row>
    <row r="113" spans="8:9">
      <c r="H113" s="1">
        <v>44715</v>
      </c>
      <c r="I113" s="11">
        <v>973.19</v>
      </c>
    </row>
    <row r="114" spans="8:9">
      <c r="H114" s="1">
        <v>44716</v>
      </c>
      <c r="I114" s="11">
        <v>41.09</v>
      </c>
    </row>
    <row r="115" spans="8:9">
      <c r="H115" s="1">
        <v>44717</v>
      </c>
      <c r="I115" s="11">
        <v>400.49</v>
      </c>
    </row>
    <row r="116" spans="8:9">
      <c r="H116" s="1">
        <v>44718</v>
      </c>
      <c r="I116" s="11">
        <v>372.53000000000003</v>
      </c>
    </row>
    <row r="117" spans="8:9">
      <c r="H117" s="1">
        <v>44719</v>
      </c>
      <c r="I117" s="11">
        <v>381.45</v>
      </c>
    </row>
    <row r="118" spans="8:9">
      <c r="H118" s="1">
        <v>44721</v>
      </c>
      <c r="I118" s="11">
        <v>307.75</v>
      </c>
    </row>
    <row r="119" spans="8:9">
      <c r="H119" s="1">
        <v>44722</v>
      </c>
      <c r="I119" s="11">
        <v>272.97000000000003</v>
      </c>
    </row>
    <row r="120" spans="8:9">
      <c r="H120" s="1">
        <v>44723</v>
      </c>
      <c r="I120" s="11">
        <v>245.23000000000002</v>
      </c>
    </row>
    <row r="121" spans="8:9">
      <c r="H121" s="1">
        <v>44727</v>
      </c>
      <c r="I121" s="11">
        <v>127.82</v>
      </c>
    </row>
    <row r="122" spans="8:9">
      <c r="H122" s="1">
        <v>44728</v>
      </c>
      <c r="I122" s="11">
        <v>581.74</v>
      </c>
    </row>
    <row r="123" spans="8:9">
      <c r="H123" s="1">
        <v>44729</v>
      </c>
      <c r="I123" s="11">
        <v>287.52999999999997</v>
      </c>
    </row>
    <row r="124" spans="8:9">
      <c r="H124" s="1">
        <v>44730</v>
      </c>
      <c r="I124" s="11">
        <v>238.86</v>
      </c>
    </row>
    <row r="125" spans="8:9">
      <c r="H125" s="1">
        <v>44731</v>
      </c>
      <c r="I125" s="11">
        <v>633.45000000000005</v>
      </c>
    </row>
    <row r="126" spans="8:9">
      <c r="H126" s="1">
        <v>44733</v>
      </c>
      <c r="I126" s="11">
        <v>44.7</v>
      </c>
    </row>
    <row r="127" spans="8:9">
      <c r="H127" s="1">
        <v>44734</v>
      </c>
      <c r="I127" s="11">
        <v>134.24</v>
      </c>
    </row>
    <row r="128" spans="8:9">
      <c r="H128" s="1">
        <v>44735</v>
      </c>
      <c r="I128" s="11">
        <v>240.46999999999997</v>
      </c>
    </row>
    <row r="129" spans="8:9">
      <c r="H129" s="1">
        <v>44737</v>
      </c>
      <c r="I129" s="11">
        <v>402.03999999999996</v>
      </c>
    </row>
    <row r="130" spans="8:9">
      <c r="H130" s="1">
        <v>44738</v>
      </c>
      <c r="I130" s="11">
        <v>649.26</v>
      </c>
    </row>
    <row r="131" spans="8:9">
      <c r="H131" s="1">
        <v>44739</v>
      </c>
      <c r="I131" s="11">
        <v>176.45</v>
      </c>
    </row>
    <row r="132" spans="8:9">
      <c r="H132" s="1">
        <v>44740</v>
      </c>
      <c r="I132" s="11">
        <v>88.38</v>
      </c>
    </row>
    <row r="133" spans="8:9">
      <c r="H133" s="1">
        <v>44742</v>
      </c>
      <c r="I133" s="11">
        <v>270.07</v>
      </c>
    </row>
    <row r="134" spans="8:9">
      <c r="H134" s="1">
        <v>44743</v>
      </c>
      <c r="I134" s="11">
        <v>195.23000000000002</v>
      </c>
    </row>
    <row r="135" spans="8:9">
      <c r="H135" s="1">
        <v>44744</v>
      </c>
      <c r="I135" s="11">
        <v>718.9</v>
      </c>
    </row>
    <row r="136" spans="8:9">
      <c r="H136" s="1">
        <v>44745</v>
      </c>
      <c r="I136" s="11">
        <v>257.7</v>
      </c>
    </row>
    <row r="137" spans="8:9">
      <c r="H137" s="1">
        <v>44747</v>
      </c>
      <c r="I137" s="11">
        <v>217.38</v>
      </c>
    </row>
    <row r="138" spans="8:9">
      <c r="H138" s="1">
        <v>44748</v>
      </c>
      <c r="I138" s="11">
        <v>367.4</v>
      </c>
    </row>
    <row r="139" spans="8:9">
      <c r="H139" s="1">
        <v>44749</v>
      </c>
      <c r="I139" s="11">
        <v>77.03</v>
      </c>
    </row>
    <row r="140" spans="8:9">
      <c r="H140" s="1">
        <v>44750</v>
      </c>
      <c r="I140" s="11">
        <v>153.08000000000001</v>
      </c>
    </row>
    <row r="141" spans="8:9">
      <c r="H141" s="1">
        <v>44751</v>
      </c>
      <c r="I141" s="11">
        <v>764.75</v>
      </c>
    </row>
    <row r="142" spans="8:9">
      <c r="H142" s="1">
        <v>44752</v>
      </c>
      <c r="I142" s="11">
        <v>102.72</v>
      </c>
    </row>
    <row r="143" spans="8:9">
      <c r="H143" s="1">
        <v>44753</v>
      </c>
      <c r="I143" s="11">
        <v>326.24</v>
      </c>
    </row>
    <row r="144" spans="8:9">
      <c r="H144" s="1">
        <v>44755</v>
      </c>
      <c r="I144" s="11">
        <v>431.39</v>
      </c>
    </row>
    <row r="145" spans="8:9">
      <c r="H145" s="1">
        <v>44756</v>
      </c>
      <c r="I145" s="11">
        <v>704.88</v>
      </c>
    </row>
    <row r="146" spans="8:9">
      <c r="H146" s="1">
        <v>44757</v>
      </c>
      <c r="I146" s="11">
        <v>845.03</v>
      </c>
    </row>
    <row r="147" spans="8:9">
      <c r="H147" s="1">
        <v>44758</v>
      </c>
      <c r="I147" s="11">
        <v>295.71000000000004</v>
      </c>
    </row>
    <row r="148" spans="8:9">
      <c r="H148" s="1">
        <v>44759</v>
      </c>
      <c r="I148" s="11">
        <v>327.24</v>
      </c>
    </row>
    <row r="149" spans="8:9">
      <c r="H149" s="1">
        <v>44760</v>
      </c>
      <c r="I149" s="11">
        <v>97.26</v>
      </c>
    </row>
    <row r="150" spans="8:9">
      <c r="H150" s="1">
        <v>44762</v>
      </c>
      <c r="I150" s="11">
        <v>101.75</v>
      </c>
    </row>
    <row r="151" spans="8:9">
      <c r="H151" s="1">
        <v>44764</v>
      </c>
      <c r="I151" s="11">
        <v>479.93</v>
      </c>
    </row>
    <row r="152" spans="8:9">
      <c r="H152" s="1">
        <v>44765</v>
      </c>
      <c r="I152" s="11">
        <v>122.71</v>
      </c>
    </row>
    <row r="153" spans="8:9">
      <c r="H153" s="1">
        <v>44766</v>
      </c>
      <c r="I153" s="11">
        <v>683.88</v>
      </c>
    </row>
    <row r="154" spans="8:9">
      <c r="H154" s="1">
        <v>44767</v>
      </c>
      <c r="I154" s="11">
        <v>312.06</v>
      </c>
    </row>
    <row r="155" spans="8:9">
      <c r="H155" s="1">
        <v>44768</v>
      </c>
      <c r="I155" s="11">
        <v>17.670000000000002</v>
      </c>
    </row>
    <row r="156" spans="8:9">
      <c r="H156" s="1">
        <v>44769</v>
      </c>
      <c r="I156" s="11">
        <v>367.01</v>
      </c>
    </row>
    <row r="157" spans="8:9">
      <c r="H157" s="1">
        <v>44770</v>
      </c>
      <c r="I157" s="11">
        <v>22.99</v>
      </c>
    </row>
    <row r="158" spans="8:9">
      <c r="H158" s="1">
        <v>44771</v>
      </c>
      <c r="I158" s="11">
        <v>380.27</v>
      </c>
    </row>
    <row r="159" spans="8:9">
      <c r="H159" s="1">
        <v>44773</v>
      </c>
      <c r="I159" s="11">
        <v>384.23</v>
      </c>
    </row>
    <row r="160" spans="8:9">
      <c r="H160" s="1">
        <v>44774</v>
      </c>
      <c r="I160" s="11">
        <v>215.35000000000002</v>
      </c>
    </row>
    <row r="161" spans="8:9">
      <c r="H161" s="1">
        <v>44775</v>
      </c>
      <c r="I161" s="11">
        <v>301.01</v>
      </c>
    </row>
    <row r="162" spans="8:9">
      <c r="H162" s="1">
        <v>44776</v>
      </c>
      <c r="I162" s="11">
        <v>88.2</v>
      </c>
    </row>
    <row r="163" spans="8:9">
      <c r="H163" s="1">
        <v>44777</v>
      </c>
      <c r="I163" s="11">
        <v>383.90999999999997</v>
      </c>
    </row>
    <row r="164" spans="8:9">
      <c r="H164" s="1">
        <v>44778</v>
      </c>
      <c r="I164" s="11">
        <v>279.99</v>
      </c>
    </row>
    <row r="165" spans="8:9">
      <c r="H165" s="1">
        <v>44779</v>
      </c>
      <c r="I165" s="11">
        <v>585.74</v>
      </c>
    </row>
    <row r="166" spans="8:9">
      <c r="H166" s="1">
        <v>44783</v>
      </c>
      <c r="I166" s="11">
        <v>406.29</v>
      </c>
    </row>
    <row r="167" spans="8:9">
      <c r="H167" s="1">
        <v>44784</v>
      </c>
      <c r="I167" s="11">
        <v>276.8</v>
      </c>
    </row>
    <row r="168" spans="8:9">
      <c r="H168" s="1">
        <v>44785</v>
      </c>
      <c r="I168" s="11">
        <v>78.790000000000006</v>
      </c>
    </row>
    <row r="169" spans="8:9">
      <c r="H169" s="1">
        <v>44786</v>
      </c>
      <c r="I169" s="11">
        <v>97.52</v>
      </c>
    </row>
    <row r="170" spans="8:9">
      <c r="H170" s="1">
        <v>44787</v>
      </c>
      <c r="I170" s="11">
        <v>48.19</v>
      </c>
    </row>
    <row r="171" spans="8:9">
      <c r="H171" s="1">
        <v>44790</v>
      </c>
      <c r="I171" s="11">
        <v>622.88</v>
      </c>
    </row>
    <row r="172" spans="8:9">
      <c r="H172" s="1">
        <v>44792</v>
      </c>
      <c r="I172" s="11">
        <v>163.5</v>
      </c>
    </row>
    <row r="173" spans="8:9">
      <c r="H173" s="1">
        <v>44794</v>
      </c>
      <c r="I173" s="11">
        <v>436.52</v>
      </c>
    </row>
    <row r="174" spans="8:9">
      <c r="H174" s="1">
        <v>44795</v>
      </c>
      <c r="I174" s="11">
        <v>146.37</v>
      </c>
    </row>
    <row r="175" spans="8:9">
      <c r="H175" s="1">
        <v>44796</v>
      </c>
      <c r="I175" s="11">
        <v>335.13</v>
      </c>
    </row>
    <row r="176" spans="8:9">
      <c r="H176" s="1">
        <v>44798</v>
      </c>
      <c r="I176" s="11">
        <v>625.55999999999995</v>
      </c>
    </row>
    <row r="177" spans="8:9">
      <c r="H177" s="1">
        <v>44799</v>
      </c>
      <c r="I177" s="11">
        <v>745.96</v>
      </c>
    </row>
    <row r="178" spans="8:9">
      <c r="H178" s="1">
        <v>44800</v>
      </c>
      <c r="I178" s="11">
        <v>112.49</v>
      </c>
    </row>
    <row r="179" spans="8:9">
      <c r="H179" s="1">
        <v>44801</v>
      </c>
      <c r="I179" s="11">
        <v>472.1</v>
      </c>
    </row>
    <row r="180" spans="8:9">
      <c r="H180" s="1">
        <v>44802</v>
      </c>
      <c r="I180" s="11">
        <v>188.06</v>
      </c>
    </row>
    <row r="181" spans="8:9">
      <c r="H181" s="1">
        <v>44804</v>
      </c>
      <c r="I181" s="11">
        <v>270.74</v>
      </c>
    </row>
    <row r="198" spans="1:6">
      <c r="B198" s="9" t="s">
        <v>29</v>
      </c>
      <c r="C198"/>
      <c r="E198"/>
      <c r="F198"/>
    </row>
    <row r="199" spans="1:6">
      <c r="A199" s="9" t="s">
        <v>49</v>
      </c>
      <c r="B199" t="s">
        <v>62</v>
      </c>
      <c r="C199" t="s">
        <v>63</v>
      </c>
      <c r="E199"/>
      <c r="F199"/>
    </row>
    <row r="200" spans="1:6">
      <c r="A200" t="s">
        <v>54</v>
      </c>
      <c r="B200" s="16">
        <v>2185.4700000000003</v>
      </c>
      <c r="C200" s="11">
        <v>2364.905925925927</v>
      </c>
      <c r="E200"/>
      <c r="F200"/>
    </row>
    <row r="201" spans="1:6">
      <c r="A201" t="s">
        <v>55</v>
      </c>
      <c r="B201" s="16">
        <v>1721.52</v>
      </c>
      <c r="C201" s="11">
        <v>1945.9349999999999</v>
      </c>
      <c r="E201"/>
      <c r="F201"/>
    </row>
    <row r="202" spans="1:6">
      <c r="A202" t="s">
        <v>56</v>
      </c>
      <c r="B202" s="16">
        <v>1770.3600000000001</v>
      </c>
      <c r="C202" s="11">
        <v>1773.6794444444454</v>
      </c>
      <c r="E202"/>
      <c r="F202"/>
    </row>
    <row r="203" spans="1:6">
      <c r="A203" t="s">
        <v>57</v>
      </c>
      <c r="B203" s="16">
        <v>1368.74</v>
      </c>
      <c r="C203" s="11">
        <v>4208.9841818181831</v>
      </c>
      <c r="E203"/>
      <c r="F203"/>
    </row>
    <row r="204" spans="1:6">
      <c r="A204" t="s">
        <v>58</v>
      </c>
      <c r="B204" s="16">
        <v>1767.0500000000002</v>
      </c>
      <c r="C204" s="11">
        <v>1945.9349999999999</v>
      </c>
      <c r="E204"/>
      <c r="F204"/>
    </row>
    <row r="205" spans="1:6">
      <c r="A205" t="s">
        <v>59</v>
      </c>
      <c r="B205" s="16">
        <v>2252.73</v>
      </c>
      <c r="C205" s="11">
        <v>7783.74</v>
      </c>
      <c r="E205"/>
      <c r="F205"/>
    </row>
    <row r="206" spans="1:6">
      <c r="A206" t="s">
        <v>60</v>
      </c>
      <c r="B206" s="16">
        <v>1922.5800000000002</v>
      </c>
      <c r="C206" s="11">
        <v>3792.3947727272725</v>
      </c>
      <c r="E206"/>
      <c r="F206"/>
    </row>
    <row r="207" spans="1:6">
      <c r="A207" t="s">
        <v>61</v>
      </c>
      <c r="B207" s="16">
        <v>2645.1499999999996</v>
      </c>
      <c r="C207" s="11">
        <v>2805.9894545454554</v>
      </c>
      <c r="E207"/>
      <c r="F207"/>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7B5E4-EF4F-4E5B-A49A-93AD1E4EEF79}">
  <dimension ref="A1:R334"/>
  <sheetViews>
    <sheetView topLeftCell="D306" workbookViewId="0">
      <selection activeCell="R2" sqref="R2"/>
    </sheetView>
  </sheetViews>
  <sheetFormatPr defaultRowHeight="14.4"/>
  <cols>
    <col min="1" max="1" width="10.33203125" bestFit="1" customWidth="1"/>
    <col min="2" max="2" width="15.6640625" bestFit="1" customWidth="1"/>
    <col min="3" max="3" width="11.33203125" bestFit="1" customWidth="1"/>
    <col min="4" max="4" width="12.5546875" bestFit="1" customWidth="1"/>
    <col min="5" max="5" width="9.6640625" bestFit="1" customWidth="1"/>
    <col min="6" max="6" width="8.109375" bestFit="1" customWidth="1"/>
    <col min="8" max="9" width="11.44140625" customWidth="1"/>
    <col min="10" max="10" width="12.33203125" bestFit="1" customWidth="1"/>
    <col min="11" max="11" width="12.5546875" bestFit="1" customWidth="1"/>
    <col min="12" max="12" width="19.21875" bestFit="1" customWidth="1"/>
    <col min="13" max="13" width="14.77734375" bestFit="1" customWidth="1"/>
    <col min="14" max="14" width="21.109375" style="7" bestFit="1" customWidth="1"/>
    <col min="15" max="15" width="20.33203125" bestFit="1" customWidth="1"/>
    <col min="16" max="16" width="11.44140625" style="7" customWidth="1"/>
    <col min="17" max="17" width="11.44140625" customWidth="1"/>
    <col min="18" max="18" width="10.33203125" bestFit="1" customWidth="1"/>
  </cols>
  <sheetData>
    <row r="1" spans="1:18">
      <c r="A1" t="s">
        <v>0</v>
      </c>
      <c r="B1" t="s">
        <v>1</v>
      </c>
      <c r="C1" t="s">
        <v>2</v>
      </c>
      <c r="D1" t="s">
        <v>3</v>
      </c>
      <c r="E1" t="s">
        <v>4</v>
      </c>
      <c r="F1" t="s">
        <v>5</v>
      </c>
      <c r="G1" t="s">
        <v>25</v>
      </c>
      <c r="H1" s="2" t="s">
        <v>26</v>
      </c>
      <c r="I1" s="2" t="s">
        <v>47</v>
      </c>
      <c r="J1" s="2" t="s">
        <v>48</v>
      </c>
      <c r="K1" s="2" t="s">
        <v>49</v>
      </c>
      <c r="L1" s="2" t="s">
        <v>50</v>
      </c>
      <c r="M1" s="2" t="s">
        <v>51</v>
      </c>
      <c r="N1" s="5" t="s">
        <v>45</v>
      </c>
      <c r="O1" s="2" t="s">
        <v>52</v>
      </c>
      <c r="P1" s="5" t="s">
        <v>53</v>
      </c>
      <c r="Q1" s="2" t="s">
        <v>27</v>
      </c>
      <c r="R1" s="5" t="s">
        <v>66</v>
      </c>
    </row>
    <row r="2" spans="1:18">
      <c r="A2" s="1">
        <v>44598</v>
      </c>
      <c r="B2" t="s">
        <v>6</v>
      </c>
      <c r="C2" t="s">
        <v>7</v>
      </c>
      <c r="D2">
        <v>7</v>
      </c>
      <c r="E2">
        <v>67.430000000000007</v>
      </c>
      <c r="F2" t="s">
        <v>8</v>
      </c>
      <c r="G2">
        <f>YEAR(A2)</f>
        <v>2022</v>
      </c>
      <c r="H2" s="3" t="str">
        <f>TEXT(A2,"mmm")</f>
        <v>Feb</v>
      </c>
      <c r="I2" s="8">
        <f>MONTH(A2)</f>
        <v>2</v>
      </c>
      <c r="J2" s="4">
        <f>DATE(YEAR(A2),MONTH(A2),1)</f>
        <v>44593</v>
      </c>
      <c r="K2" s="3" t="str">
        <f>TEXT(J2,"yyyy-mmm")</f>
        <v>2022-Feb</v>
      </c>
      <c r="L2" s="8">
        <f>SUMIFS($E:$E,$C:$C,$C2,$J:$J,$J2)</f>
        <v>837.85</v>
      </c>
      <c r="M2" s="8">
        <f>AVERAGEIFS($E:$E,$C:$C,$C2)*7/COUNTIFS($C:$C,$C2,$I:$I,$I2)*6</f>
        <v>862.01874999999984</v>
      </c>
      <c r="N2" s="6">
        <f>IFERROR(L2/M2,0)</f>
        <v>0.97196261682243013</v>
      </c>
      <c r="O2" s="8">
        <f>SUMIFS($E:$E,$C:$C,$C2,$J:$J,EDATE(J2,-1))</f>
        <v>656.7700000000001</v>
      </c>
      <c r="P2" s="6">
        <f>IFERROR((L2-O2)/O2,0)</f>
        <v>0.27571295887449165</v>
      </c>
      <c r="Q2" s="3" t="str">
        <f>IF(P2&gt;0,"Growing",IF(P2&lt;0,"Degrowing","No Growth"))</f>
        <v>Growing</v>
      </c>
      <c r="R2" s="3">
        <f>IF(COUNTIFS($C$2:C2,C2,$J$2:J2,J2)=1,1,0)</f>
        <v>1</v>
      </c>
    </row>
    <row r="3" spans="1:18">
      <c r="A3" s="1">
        <v>44597</v>
      </c>
      <c r="B3" t="s">
        <v>9</v>
      </c>
      <c r="C3" t="s">
        <v>10</v>
      </c>
      <c r="D3">
        <v>18</v>
      </c>
      <c r="E3">
        <v>421.46</v>
      </c>
      <c r="F3" t="s">
        <v>11</v>
      </c>
      <c r="G3">
        <f t="shared" ref="G3:G66" si="0">YEAR(A3)</f>
        <v>2022</v>
      </c>
      <c r="H3" s="3" t="str">
        <f t="shared" ref="H3:H66" si="1">TEXT(A3,"mmm")</f>
        <v>Feb</v>
      </c>
      <c r="I3" s="8">
        <f t="shared" ref="I3:I66" si="2">MONTH(A3)</f>
        <v>2</v>
      </c>
      <c r="J3" s="4">
        <f t="shared" ref="J3:J66" si="3">DATE(YEAR(A3),MONTH(A3),1)</f>
        <v>44593</v>
      </c>
      <c r="K3" s="3" t="str">
        <f t="shared" ref="K3:K66" si="4">TEXT(J3,"yyyy-mmm")</f>
        <v>2022-Feb</v>
      </c>
      <c r="L3" s="8">
        <f t="shared" ref="L3:L66" si="5">SUMIFS($E:$E,$C:$C,$C3,$J:$J,$J3)</f>
        <v>1170.8000000000002</v>
      </c>
      <c r="M3" s="8">
        <f t="shared" ref="M3:M66" si="6">AVERAGEIFS($E:$E,$C:$C,$C3)*7/COUNTIFS($C:$C,$C3,$I:$I,$I3)*6</f>
        <v>1682.6395384615382</v>
      </c>
      <c r="N3" s="6">
        <f t="shared" ref="N3:N66" si="7">IFERROR(L3/M3,0)</f>
        <v>0.69581153493545012</v>
      </c>
      <c r="O3" s="8">
        <f t="shared" ref="O3:O66" si="8">SUMIFS($E:$E,$C:$C,$C3,$J:$J,EDATE(J3,-1))</f>
        <v>491.53</v>
      </c>
      <c r="P3" s="6">
        <f t="shared" ref="P3:P66" si="9">IFERROR((L3-O3)/O3,0)</f>
        <v>1.3819502370150352</v>
      </c>
      <c r="Q3" s="3" t="str">
        <f t="shared" ref="Q3:Q66" si="10">IF(P3&gt;0,"Growing",IF(P3&lt;0,"Degrowing","No Growth"))</f>
        <v>Growing</v>
      </c>
      <c r="R3" s="3">
        <f>IF(COUNTIFS($C$2:C3,C3,$J$2:J3,J3)=1,1,0)</f>
        <v>1</v>
      </c>
    </row>
    <row r="4" spans="1:18">
      <c r="A4" s="1">
        <v>44611</v>
      </c>
      <c r="B4" t="s">
        <v>12</v>
      </c>
      <c r="C4" t="s">
        <v>13</v>
      </c>
      <c r="D4">
        <v>2</v>
      </c>
      <c r="E4">
        <v>48.25</v>
      </c>
      <c r="F4" t="s">
        <v>14</v>
      </c>
      <c r="G4">
        <f t="shared" si="0"/>
        <v>2022</v>
      </c>
      <c r="H4" s="3" t="str">
        <f t="shared" si="1"/>
        <v>Feb</v>
      </c>
      <c r="I4" s="8">
        <f t="shared" si="2"/>
        <v>2</v>
      </c>
      <c r="J4" s="4">
        <f t="shared" si="3"/>
        <v>44593</v>
      </c>
      <c r="K4" s="3" t="str">
        <f t="shared" si="4"/>
        <v>2022-Feb</v>
      </c>
      <c r="L4" s="8">
        <f t="shared" si="5"/>
        <v>738.18000000000006</v>
      </c>
      <c r="M4" s="8">
        <f t="shared" si="6"/>
        <v>1264.1315909090908</v>
      </c>
      <c r="N4" s="6">
        <f t="shared" si="7"/>
        <v>0.58394237222498602</v>
      </c>
      <c r="O4" s="8">
        <f t="shared" si="8"/>
        <v>882.82999999999993</v>
      </c>
      <c r="P4" s="6">
        <f t="shared" si="9"/>
        <v>-0.16384807947169883</v>
      </c>
      <c r="Q4" s="3" t="str">
        <f t="shared" si="10"/>
        <v>Degrowing</v>
      </c>
      <c r="R4" s="3">
        <f>IF(COUNTIFS($C$2:C4,C4,$J$2:J4,J4)=1,1,0)</f>
        <v>1</v>
      </c>
    </row>
    <row r="5" spans="1:18">
      <c r="A5" s="1">
        <v>44648</v>
      </c>
      <c r="B5" t="s">
        <v>6</v>
      </c>
      <c r="C5" t="s">
        <v>10</v>
      </c>
      <c r="D5">
        <v>5</v>
      </c>
      <c r="E5">
        <v>59.89</v>
      </c>
      <c r="F5" t="s">
        <v>14</v>
      </c>
      <c r="G5">
        <f t="shared" si="0"/>
        <v>2022</v>
      </c>
      <c r="H5" s="3" t="str">
        <f t="shared" si="1"/>
        <v>Mar</v>
      </c>
      <c r="I5" s="8">
        <f t="shared" si="2"/>
        <v>3</v>
      </c>
      <c r="J5" s="4">
        <f t="shared" si="3"/>
        <v>44621</v>
      </c>
      <c r="K5" s="3" t="str">
        <f t="shared" si="4"/>
        <v>2022-Mar</v>
      </c>
      <c r="L5" s="8">
        <f t="shared" si="5"/>
        <v>274.01</v>
      </c>
      <c r="M5" s="8">
        <f t="shared" si="6"/>
        <v>2804.3992307692306</v>
      </c>
      <c r="N5" s="6">
        <f t="shared" si="7"/>
        <v>9.770720124068806E-2</v>
      </c>
      <c r="O5" s="8">
        <f t="shared" si="8"/>
        <v>1170.8000000000002</v>
      </c>
      <c r="P5" s="6">
        <f t="shared" si="9"/>
        <v>-0.76596344379911174</v>
      </c>
      <c r="Q5" s="3" t="str">
        <f t="shared" si="10"/>
        <v>Degrowing</v>
      </c>
      <c r="R5" s="3">
        <f>IF(COUNTIFS($C$2:C5,C5,$J$2:J5,J5)=1,1,0)</f>
        <v>1</v>
      </c>
    </row>
    <row r="6" spans="1:18">
      <c r="A6" s="1">
        <v>44578</v>
      </c>
      <c r="B6" t="s">
        <v>15</v>
      </c>
      <c r="C6" t="s">
        <v>13</v>
      </c>
      <c r="D6">
        <v>8</v>
      </c>
      <c r="E6">
        <v>147.72999999999999</v>
      </c>
      <c r="F6" t="s">
        <v>16</v>
      </c>
      <c r="G6">
        <f t="shared" si="0"/>
        <v>2022</v>
      </c>
      <c r="H6" s="3" t="str">
        <f t="shared" si="1"/>
        <v>Jan</v>
      </c>
      <c r="I6" s="8">
        <f t="shared" si="2"/>
        <v>1</v>
      </c>
      <c r="J6" s="4">
        <f t="shared" si="3"/>
        <v>44562</v>
      </c>
      <c r="K6" s="3" t="str">
        <f t="shared" si="4"/>
        <v>2022-Jan</v>
      </c>
      <c r="L6" s="8">
        <f t="shared" si="5"/>
        <v>882.82999999999993</v>
      </c>
      <c r="M6" s="8">
        <f t="shared" si="6"/>
        <v>1896.1973863636363</v>
      </c>
      <c r="N6" s="6">
        <f t="shared" si="7"/>
        <v>0.46557916720527454</v>
      </c>
      <c r="O6" s="8">
        <f t="shared" si="8"/>
        <v>0</v>
      </c>
      <c r="P6" s="6">
        <f t="shared" si="9"/>
        <v>0</v>
      </c>
      <c r="Q6" s="3" t="str">
        <f t="shared" si="10"/>
        <v>No Growth</v>
      </c>
      <c r="R6" s="3">
        <f>IF(COUNTIFS($C$2:C6,C6,$J$2:J6,J6)=1,1,0)</f>
        <v>1</v>
      </c>
    </row>
    <row r="7" spans="1:18">
      <c r="A7" s="1">
        <v>44601</v>
      </c>
      <c r="B7" t="s">
        <v>15</v>
      </c>
      <c r="C7" t="s">
        <v>13</v>
      </c>
      <c r="D7">
        <v>18</v>
      </c>
      <c r="E7">
        <v>400.87</v>
      </c>
      <c r="F7" t="s">
        <v>16</v>
      </c>
      <c r="G7">
        <f t="shared" si="0"/>
        <v>2022</v>
      </c>
      <c r="H7" s="3" t="str">
        <f t="shared" si="1"/>
        <v>Feb</v>
      </c>
      <c r="I7" s="8">
        <f t="shared" si="2"/>
        <v>2</v>
      </c>
      <c r="J7" s="4">
        <f t="shared" si="3"/>
        <v>44593</v>
      </c>
      <c r="K7" s="3" t="str">
        <f t="shared" si="4"/>
        <v>2022-Feb</v>
      </c>
      <c r="L7" s="8">
        <f t="shared" si="5"/>
        <v>738.18000000000006</v>
      </c>
      <c r="M7" s="8">
        <f t="shared" si="6"/>
        <v>1264.1315909090908</v>
      </c>
      <c r="N7" s="6">
        <f t="shared" si="7"/>
        <v>0.58394237222498602</v>
      </c>
      <c r="O7" s="8">
        <f t="shared" si="8"/>
        <v>882.82999999999993</v>
      </c>
      <c r="P7" s="6">
        <f t="shared" si="9"/>
        <v>-0.16384807947169883</v>
      </c>
      <c r="Q7" s="3" t="str">
        <f t="shared" si="10"/>
        <v>Degrowing</v>
      </c>
      <c r="R7" s="3">
        <f>IF(COUNTIFS($C$2:C7,C7,$J$2:J7,J7)=1,1,0)</f>
        <v>0</v>
      </c>
    </row>
    <row r="8" spans="1:18">
      <c r="A8" s="1">
        <v>44742</v>
      </c>
      <c r="B8" t="s">
        <v>9</v>
      </c>
      <c r="C8" t="s">
        <v>10</v>
      </c>
      <c r="D8">
        <v>3</v>
      </c>
      <c r="E8">
        <v>50.35</v>
      </c>
      <c r="F8" t="s">
        <v>8</v>
      </c>
      <c r="G8">
        <f t="shared" si="0"/>
        <v>2022</v>
      </c>
      <c r="H8" s="3" t="str">
        <f t="shared" si="1"/>
        <v>Jun</v>
      </c>
      <c r="I8" s="8">
        <f t="shared" si="2"/>
        <v>6</v>
      </c>
      <c r="J8" s="4">
        <f t="shared" si="3"/>
        <v>44713</v>
      </c>
      <c r="K8" s="3" t="str">
        <f t="shared" si="4"/>
        <v>2022-Jun</v>
      </c>
      <c r="L8" s="8">
        <f t="shared" si="5"/>
        <v>761.09999999999991</v>
      </c>
      <c r="M8" s="8">
        <f t="shared" si="6"/>
        <v>1402.1996153846153</v>
      </c>
      <c r="N8" s="6">
        <f t="shared" si="7"/>
        <v>0.54279005046741124</v>
      </c>
      <c r="O8" s="8">
        <f t="shared" si="8"/>
        <v>2645.1499999999996</v>
      </c>
      <c r="P8" s="6">
        <f t="shared" si="9"/>
        <v>-0.71226584503714341</v>
      </c>
      <c r="Q8" s="3" t="str">
        <f t="shared" si="10"/>
        <v>Degrowing</v>
      </c>
      <c r="R8" s="3">
        <f>IF(COUNTIFS($C$2:C8,C8,$J$2:J8,J8)=1,1,0)</f>
        <v>1</v>
      </c>
    </row>
    <row r="9" spans="1:18">
      <c r="A9" s="1">
        <v>44767</v>
      </c>
      <c r="B9" t="s">
        <v>17</v>
      </c>
      <c r="C9" t="s">
        <v>13</v>
      </c>
      <c r="D9">
        <v>13</v>
      </c>
      <c r="E9">
        <v>282.43</v>
      </c>
      <c r="F9" t="s">
        <v>16</v>
      </c>
      <c r="G9">
        <f t="shared" si="0"/>
        <v>2022</v>
      </c>
      <c r="H9" s="3" t="str">
        <f t="shared" si="1"/>
        <v>Jul</v>
      </c>
      <c r="I9" s="8">
        <f t="shared" si="2"/>
        <v>7</v>
      </c>
      <c r="J9" s="4">
        <f t="shared" si="3"/>
        <v>44743</v>
      </c>
      <c r="K9" s="3" t="str">
        <f t="shared" si="4"/>
        <v>2022-Jul</v>
      </c>
      <c r="L9" s="8">
        <f t="shared" si="5"/>
        <v>1653.05</v>
      </c>
      <c r="M9" s="8">
        <f t="shared" si="6"/>
        <v>842.75439393939394</v>
      </c>
      <c r="N9" s="6">
        <f t="shared" si="7"/>
        <v>1.9614848784981569</v>
      </c>
      <c r="O9" s="8">
        <f t="shared" si="8"/>
        <v>585.20999999999992</v>
      </c>
      <c r="P9" s="6">
        <f t="shared" si="9"/>
        <v>1.8247124963688253</v>
      </c>
      <c r="Q9" s="3" t="str">
        <f t="shared" si="10"/>
        <v>Growing</v>
      </c>
      <c r="R9" s="3">
        <f>IF(COUNTIFS($C$2:C9,C9,$J$2:J9,J9)=1,1,0)</f>
        <v>1</v>
      </c>
    </row>
    <row r="10" spans="1:18">
      <c r="A10" s="1">
        <v>44640</v>
      </c>
      <c r="B10" t="s">
        <v>18</v>
      </c>
      <c r="C10" t="s">
        <v>19</v>
      </c>
      <c r="D10">
        <v>17</v>
      </c>
      <c r="E10">
        <v>394.01</v>
      </c>
      <c r="F10" t="s">
        <v>14</v>
      </c>
      <c r="G10">
        <f t="shared" si="0"/>
        <v>2022</v>
      </c>
      <c r="H10" s="3" t="str">
        <f t="shared" si="1"/>
        <v>Mar</v>
      </c>
      <c r="I10" s="8">
        <f t="shared" si="2"/>
        <v>3</v>
      </c>
      <c r="J10" s="4">
        <f t="shared" si="3"/>
        <v>44621</v>
      </c>
      <c r="K10" s="3" t="str">
        <f t="shared" si="4"/>
        <v>2022-Mar</v>
      </c>
      <c r="L10" s="8">
        <f t="shared" si="5"/>
        <v>1095.8999999999999</v>
      </c>
      <c r="M10" s="8">
        <f t="shared" si="6"/>
        <v>1418.943555555556</v>
      </c>
      <c r="N10" s="6">
        <f t="shared" si="7"/>
        <v>0.77233516140176861</v>
      </c>
      <c r="O10" s="8">
        <f t="shared" si="8"/>
        <v>519.11</v>
      </c>
      <c r="P10" s="6">
        <f t="shared" si="9"/>
        <v>1.1111132515266511</v>
      </c>
      <c r="Q10" s="3" t="str">
        <f t="shared" si="10"/>
        <v>Growing</v>
      </c>
      <c r="R10" s="3">
        <f>IF(COUNTIFS($C$2:C10,C10,$J$2:J10,J10)=1,1,0)</f>
        <v>1</v>
      </c>
    </row>
    <row r="11" spans="1:18">
      <c r="A11" s="1">
        <v>44585</v>
      </c>
      <c r="B11" t="s">
        <v>9</v>
      </c>
      <c r="C11" t="s">
        <v>20</v>
      </c>
      <c r="D11">
        <v>7</v>
      </c>
      <c r="E11">
        <v>89.29</v>
      </c>
      <c r="F11" t="s">
        <v>8</v>
      </c>
      <c r="G11">
        <f t="shared" si="0"/>
        <v>2022</v>
      </c>
      <c r="H11" s="3" t="str">
        <f t="shared" si="1"/>
        <v>Jan</v>
      </c>
      <c r="I11" s="8">
        <f t="shared" si="2"/>
        <v>1</v>
      </c>
      <c r="J11" s="4">
        <f t="shared" si="3"/>
        <v>44562</v>
      </c>
      <c r="K11" s="3" t="str">
        <f t="shared" si="4"/>
        <v>2022-Jan</v>
      </c>
      <c r="L11" s="8">
        <f t="shared" si="5"/>
        <v>680.2299999999999</v>
      </c>
      <c r="M11" s="8">
        <f t="shared" si="6"/>
        <v>1556.7479999999998</v>
      </c>
      <c r="N11" s="6">
        <f t="shared" si="7"/>
        <v>0.43695575648724133</v>
      </c>
      <c r="O11" s="8">
        <f t="shared" si="8"/>
        <v>0</v>
      </c>
      <c r="P11" s="6">
        <f t="shared" si="9"/>
        <v>0</v>
      </c>
      <c r="Q11" s="3" t="str">
        <f t="shared" si="10"/>
        <v>No Growth</v>
      </c>
      <c r="R11" s="3">
        <f>IF(COUNTIFS($C$2:C11,C11,$J$2:J11,J11)=1,1,0)</f>
        <v>1</v>
      </c>
    </row>
    <row r="12" spans="1:18">
      <c r="A12" s="1">
        <v>44678</v>
      </c>
      <c r="B12" t="s">
        <v>12</v>
      </c>
      <c r="C12" t="s">
        <v>7</v>
      </c>
      <c r="D12">
        <v>11</v>
      </c>
      <c r="E12">
        <v>150.72999999999999</v>
      </c>
      <c r="F12" t="s">
        <v>11</v>
      </c>
      <c r="G12">
        <f t="shared" si="0"/>
        <v>2022</v>
      </c>
      <c r="H12" s="3" t="str">
        <f t="shared" si="1"/>
        <v>Apr</v>
      </c>
      <c r="I12" s="8">
        <f t="shared" si="2"/>
        <v>4</v>
      </c>
      <c r="J12" s="4">
        <f t="shared" si="3"/>
        <v>44652</v>
      </c>
      <c r="K12" s="3" t="str">
        <f t="shared" si="4"/>
        <v>2022-Apr</v>
      </c>
      <c r="L12" s="8">
        <f t="shared" si="5"/>
        <v>574.2399999999999</v>
      </c>
      <c r="M12" s="8">
        <f t="shared" si="6"/>
        <v>1206.8262499999996</v>
      </c>
      <c r="N12" s="6">
        <f t="shared" si="7"/>
        <v>0.47582657404079509</v>
      </c>
      <c r="O12" s="8">
        <f t="shared" si="8"/>
        <v>1795.9</v>
      </c>
      <c r="P12" s="6">
        <f t="shared" si="9"/>
        <v>-0.68024945709672047</v>
      </c>
      <c r="Q12" s="3" t="str">
        <f t="shared" si="10"/>
        <v>Degrowing</v>
      </c>
      <c r="R12" s="3">
        <f>IF(COUNTIFS($C$2:C12,C12,$J$2:J12,J12)=1,1,0)</f>
        <v>1</v>
      </c>
    </row>
    <row r="13" spans="1:18">
      <c r="A13" s="1">
        <v>44610</v>
      </c>
      <c r="B13" t="s">
        <v>6</v>
      </c>
      <c r="C13" t="s">
        <v>13</v>
      </c>
      <c r="D13">
        <v>5</v>
      </c>
      <c r="E13">
        <v>63.41</v>
      </c>
      <c r="F13" t="s">
        <v>16</v>
      </c>
      <c r="G13">
        <f t="shared" si="0"/>
        <v>2022</v>
      </c>
      <c r="H13" s="3" t="str">
        <f t="shared" si="1"/>
        <v>Feb</v>
      </c>
      <c r="I13" s="8">
        <f t="shared" si="2"/>
        <v>2</v>
      </c>
      <c r="J13" s="4">
        <f t="shared" si="3"/>
        <v>44593</v>
      </c>
      <c r="K13" s="3" t="str">
        <f t="shared" si="4"/>
        <v>2022-Feb</v>
      </c>
      <c r="L13" s="8">
        <f t="shared" si="5"/>
        <v>738.18000000000006</v>
      </c>
      <c r="M13" s="8">
        <f t="shared" si="6"/>
        <v>1264.1315909090908</v>
      </c>
      <c r="N13" s="6">
        <f t="shared" si="7"/>
        <v>0.58394237222498602</v>
      </c>
      <c r="O13" s="8">
        <f t="shared" si="8"/>
        <v>882.82999999999993</v>
      </c>
      <c r="P13" s="6">
        <f t="shared" si="9"/>
        <v>-0.16384807947169883</v>
      </c>
      <c r="Q13" s="3" t="str">
        <f t="shared" si="10"/>
        <v>Degrowing</v>
      </c>
      <c r="R13" s="3">
        <f>IF(COUNTIFS($C$2:C13,C13,$J$2:J13,J13)=1,1,0)</f>
        <v>0</v>
      </c>
    </row>
    <row r="14" spans="1:18">
      <c r="A14" s="1">
        <v>44738</v>
      </c>
      <c r="B14" t="s">
        <v>6</v>
      </c>
      <c r="C14" t="s">
        <v>7</v>
      </c>
      <c r="D14">
        <v>18</v>
      </c>
      <c r="E14">
        <v>175.89</v>
      </c>
      <c r="F14" t="s">
        <v>16</v>
      </c>
      <c r="G14">
        <f t="shared" si="0"/>
        <v>2022</v>
      </c>
      <c r="H14" s="3" t="str">
        <f t="shared" si="1"/>
        <v>Jun</v>
      </c>
      <c r="I14" s="8">
        <f t="shared" si="2"/>
        <v>6</v>
      </c>
      <c r="J14" s="4">
        <f t="shared" si="3"/>
        <v>44713</v>
      </c>
      <c r="K14" s="3" t="str">
        <f t="shared" si="4"/>
        <v>2022-Jun</v>
      </c>
      <c r="L14" s="8">
        <f t="shared" si="5"/>
        <v>1013.7</v>
      </c>
      <c r="M14" s="8">
        <f t="shared" si="6"/>
        <v>862.01874999999984</v>
      </c>
      <c r="N14" s="6">
        <f t="shared" si="7"/>
        <v>1.1759604996991078</v>
      </c>
      <c r="O14" s="8">
        <f t="shared" si="8"/>
        <v>459.62</v>
      </c>
      <c r="P14" s="6">
        <f t="shared" si="9"/>
        <v>1.2055176014968889</v>
      </c>
      <c r="Q14" s="3" t="str">
        <f t="shared" si="10"/>
        <v>Growing</v>
      </c>
      <c r="R14" s="3">
        <f>IF(COUNTIFS($C$2:C14,C14,$J$2:J14,J14)=1,1,0)</f>
        <v>1</v>
      </c>
    </row>
    <row r="15" spans="1:18">
      <c r="A15" s="1">
        <v>44731</v>
      </c>
      <c r="B15" t="s">
        <v>18</v>
      </c>
      <c r="C15" t="s">
        <v>19</v>
      </c>
      <c r="D15">
        <v>18</v>
      </c>
      <c r="E15">
        <v>296.97000000000003</v>
      </c>
      <c r="F15" t="s">
        <v>8</v>
      </c>
      <c r="G15">
        <f t="shared" si="0"/>
        <v>2022</v>
      </c>
      <c r="H15" s="3" t="str">
        <f t="shared" si="1"/>
        <v>Jun</v>
      </c>
      <c r="I15" s="8">
        <f t="shared" si="2"/>
        <v>6</v>
      </c>
      <c r="J15" s="4">
        <f t="shared" si="3"/>
        <v>44713</v>
      </c>
      <c r="K15" s="3" t="str">
        <f t="shared" si="4"/>
        <v>2022-Jun</v>
      </c>
      <c r="L15" s="8">
        <f t="shared" si="5"/>
        <v>1655.98</v>
      </c>
      <c r="M15" s="8">
        <f t="shared" si="6"/>
        <v>591.22648148148176</v>
      </c>
      <c r="N15" s="6">
        <f t="shared" si="7"/>
        <v>2.8009232533875736</v>
      </c>
      <c r="O15" s="8">
        <f t="shared" si="8"/>
        <v>1584.09</v>
      </c>
      <c r="P15" s="6">
        <f t="shared" si="9"/>
        <v>4.5382522457688708E-2</v>
      </c>
      <c r="Q15" s="3" t="str">
        <f t="shared" si="10"/>
        <v>Growing</v>
      </c>
      <c r="R15" s="3">
        <f>IF(COUNTIFS($C$2:C15,C15,$J$2:J15,J15)=1,1,0)</f>
        <v>1</v>
      </c>
    </row>
    <row r="16" spans="1:18">
      <c r="A16" s="1">
        <v>44715</v>
      </c>
      <c r="B16" t="s">
        <v>12</v>
      </c>
      <c r="C16" t="s">
        <v>13</v>
      </c>
      <c r="D16">
        <v>12</v>
      </c>
      <c r="E16">
        <v>177.75</v>
      </c>
      <c r="F16" t="s">
        <v>16</v>
      </c>
      <c r="G16">
        <f t="shared" si="0"/>
        <v>2022</v>
      </c>
      <c r="H16" s="3" t="str">
        <f t="shared" si="1"/>
        <v>Jun</v>
      </c>
      <c r="I16" s="8">
        <f t="shared" si="2"/>
        <v>6</v>
      </c>
      <c r="J16" s="4">
        <f t="shared" si="3"/>
        <v>44713</v>
      </c>
      <c r="K16" s="3" t="str">
        <f t="shared" si="4"/>
        <v>2022-Jun</v>
      </c>
      <c r="L16" s="8">
        <f t="shared" si="5"/>
        <v>585.20999999999992</v>
      </c>
      <c r="M16" s="8">
        <f t="shared" si="6"/>
        <v>1896.1973863636363</v>
      </c>
      <c r="N16" s="6">
        <f t="shared" si="7"/>
        <v>0.30862293356614373</v>
      </c>
      <c r="O16" s="8">
        <f t="shared" si="8"/>
        <v>1938.8200000000002</v>
      </c>
      <c r="P16" s="6">
        <f t="shared" si="9"/>
        <v>-0.69816176849836498</v>
      </c>
      <c r="Q16" s="3" t="str">
        <f t="shared" si="10"/>
        <v>Degrowing</v>
      </c>
      <c r="R16" s="3">
        <f>IF(COUNTIFS($C$2:C16,C16,$J$2:J16,J16)=1,1,0)</f>
        <v>1</v>
      </c>
    </row>
    <row r="17" spans="1:18">
      <c r="A17" s="1">
        <v>44656</v>
      </c>
      <c r="B17" t="s">
        <v>12</v>
      </c>
      <c r="C17" t="s">
        <v>10</v>
      </c>
      <c r="D17">
        <v>14</v>
      </c>
      <c r="E17">
        <v>285.08999999999997</v>
      </c>
      <c r="F17" t="s">
        <v>11</v>
      </c>
      <c r="G17">
        <f t="shared" si="0"/>
        <v>2022</v>
      </c>
      <c r="H17" s="3" t="str">
        <f t="shared" si="1"/>
        <v>Apr</v>
      </c>
      <c r="I17" s="8">
        <f t="shared" si="2"/>
        <v>4</v>
      </c>
      <c r="J17" s="4">
        <f t="shared" si="3"/>
        <v>44652</v>
      </c>
      <c r="K17" s="3" t="str">
        <f t="shared" si="4"/>
        <v>2022-Apr</v>
      </c>
      <c r="L17" s="8">
        <f t="shared" si="5"/>
        <v>2185.4700000000003</v>
      </c>
      <c r="M17" s="8">
        <f t="shared" si="6"/>
        <v>841.31976923076911</v>
      </c>
      <c r="N17" s="6">
        <f t="shared" si="7"/>
        <v>2.5976686628892689</v>
      </c>
      <c r="O17" s="8">
        <f t="shared" si="8"/>
        <v>274.01</v>
      </c>
      <c r="P17" s="6">
        <f t="shared" si="9"/>
        <v>6.9758767928177816</v>
      </c>
      <c r="Q17" s="3" t="str">
        <f t="shared" si="10"/>
        <v>Growing</v>
      </c>
      <c r="R17" s="3">
        <f>IF(COUNTIFS($C$2:C17,C17,$J$2:J17,J17)=1,1,0)</f>
        <v>1</v>
      </c>
    </row>
    <row r="18" spans="1:18">
      <c r="A18" s="1">
        <v>44668</v>
      </c>
      <c r="B18" t="s">
        <v>6</v>
      </c>
      <c r="C18" t="s">
        <v>13</v>
      </c>
      <c r="D18">
        <v>12</v>
      </c>
      <c r="E18">
        <v>277.22000000000003</v>
      </c>
      <c r="F18" t="s">
        <v>8</v>
      </c>
      <c r="G18">
        <f t="shared" si="0"/>
        <v>2022</v>
      </c>
      <c r="H18" s="3" t="str">
        <f t="shared" si="1"/>
        <v>Apr</v>
      </c>
      <c r="I18" s="8">
        <f t="shared" si="2"/>
        <v>4</v>
      </c>
      <c r="J18" s="4">
        <f t="shared" si="3"/>
        <v>44652</v>
      </c>
      <c r="K18" s="3" t="str">
        <f t="shared" si="4"/>
        <v>2022-Apr</v>
      </c>
      <c r="L18" s="8">
        <f t="shared" si="5"/>
        <v>972.89</v>
      </c>
      <c r="M18" s="8">
        <f t="shared" si="6"/>
        <v>1516.9579090909092</v>
      </c>
      <c r="N18" s="6">
        <f t="shared" si="7"/>
        <v>0.64134277831283981</v>
      </c>
      <c r="O18" s="8">
        <f t="shared" si="8"/>
        <v>522.87</v>
      </c>
      <c r="P18" s="6">
        <f t="shared" si="9"/>
        <v>0.86067282498517794</v>
      </c>
      <c r="Q18" s="3" t="str">
        <f t="shared" si="10"/>
        <v>Growing</v>
      </c>
      <c r="R18" s="3">
        <f>IF(COUNTIFS($C$2:C18,C18,$J$2:J18,J18)=1,1,0)</f>
        <v>1</v>
      </c>
    </row>
    <row r="19" spans="1:18">
      <c r="A19" s="1">
        <v>44603</v>
      </c>
      <c r="B19" t="s">
        <v>18</v>
      </c>
      <c r="C19" t="s">
        <v>19</v>
      </c>
      <c r="D19">
        <v>17</v>
      </c>
      <c r="E19">
        <v>175.18</v>
      </c>
      <c r="F19" t="s">
        <v>11</v>
      </c>
      <c r="G19">
        <f t="shared" si="0"/>
        <v>2022</v>
      </c>
      <c r="H19" s="3" t="str">
        <f t="shared" si="1"/>
        <v>Feb</v>
      </c>
      <c r="I19" s="8">
        <f t="shared" si="2"/>
        <v>2</v>
      </c>
      <c r="J19" s="4">
        <f t="shared" si="3"/>
        <v>44593</v>
      </c>
      <c r="K19" s="3" t="str">
        <f t="shared" si="4"/>
        <v>2022-Feb</v>
      </c>
      <c r="L19" s="8">
        <f t="shared" si="5"/>
        <v>519.11</v>
      </c>
      <c r="M19" s="8">
        <f t="shared" si="6"/>
        <v>1773.6794444444454</v>
      </c>
      <c r="N19" s="6">
        <f t="shared" si="7"/>
        <v>0.29267408021554675</v>
      </c>
      <c r="O19" s="8">
        <f t="shared" si="8"/>
        <v>1368.74</v>
      </c>
      <c r="P19" s="6">
        <f t="shared" si="9"/>
        <v>-0.62073878165319929</v>
      </c>
      <c r="Q19" s="3" t="str">
        <f t="shared" si="10"/>
        <v>Degrowing</v>
      </c>
      <c r="R19" s="3">
        <f>IF(COUNTIFS($C$2:C19,C19,$J$2:J19,J19)=1,1,0)</f>
        <v>1</v>
      </c>
    </row>
    <row r="20" spans="1:18">
      <c r="A20" s="1">
        <v>44579</v>
      </c>
      <c r="B20" t="s">
        <v>9</v>
      </c>
      <c r="C20" t="s">
        <v>13</v>
      </c>
      <c r="D20">
        <v>12</v>
      </c>
      <c r="E20">
        <v>192.16</v>
      </c>
      <c r="F20" t="s">
        <v>8</v>
      </c>
      <c r="G20">
        <f t="shared" si="0"/>
        <v>2022</v>
      </c>
      <c r="H20" s="3" t="str">
        <f t="shared" si="1"/>
        <v>Jan</v>
      </c>
      <c r="I20" s="8">
        <f t="shared" si="2"/>
        <v>1</v>
      </c>
      <c r="J20" s="4">
        <f t="shared" si="3"/>
        <v>44562</v>
      </c>
      <c r="K20" s="3" t="str">
        <f t="shared" si="4"/>
        <v>2022-Jan</v>
      </c>
      <c r="L20" s="8">
        <f t="shared" si="5"/>
        <v>882.82999999999993</v>
      </c>
      <c r="M20" s="8">
        <f t="shared" si="6"/>
        <v>1896.1973863636363</v>
      </c>
      <c r="N20" s="6">
        <f t="shared" si="7"/>
        <v>0.46557916720527454</v>
      </c>
      <c r="O20" s="8">
        <f t="shared" si="8"/>
        <v>0</v>
      </c>
      <c r="P20" s="6">
        <f t="shared" si="9"/>
        <v>0</v>
      </c>
      <c r="Q20" s="3" t="str">
        <f t="shared" si="10"/>
        <v>No Growth</v>
      </c>
      <c r="R20" s="3">
        <f>IF(COUNTIFS($C$2:C20,C20,$J$2:J20,J20)=1,1,0)</f>
        <v>0</v>
      </c>
    </row>
    <row r="21" spans="1:18">
      <c r="A21" s="1">
        <v>44711</v>
      </c>
      <c r="B21" t="s">
        <v>21</v>
      </c>
      <c r="C21" t="s">
        <v>10</v>
      </c>
      <c r="D21">
        <v>9</v>
      </c>
      <c r="E21">
        <v>123.12</v>
      </c>
      <c r="F21" t="s">
        <v>22</v>
      </c>
      <c r="G21">
        <f t="shared" si="0"/>
        <v>2022</v>
      </c>
      <c r="H21" s="3" t="str">
        <f t="shared" si="1"/>
        <v>May</v>
      </c>
      <c r="I21" s="8">
        <f t="shared" si="2"/>
        <v>5</v>
      </c>
      <c r="J21" s="4">
        <f t="shared" si="3"/>
        <v>44682</v>
      </c>
      <c r="K21" s="3" t="str">
        <f t="shared" si="4"/>
        <v>2022-May</v>
      </c>
      <c r="L21" s="8">
        <f t="shared" si="5"/>
        <v>2645.1499999999996</v>
      </c>
      <c r="M21" s="8">
        <f t="shared" si="6"/>
        <v>764.83615384615382</v>
      </c>
      <c r="N21" s="6">
        <f t="shared" si="7"/>
        <v>3.4584531428048435</v>
      </c>
      <c r="O21" s="8">
        <f t="shared" si="8"/>
        <v>2185.4700000000003</v>
      </c>
      <c r="P21" s="6">
        <f t="shared" si="9"/>
        <v>0.21033461909795118</v>
      </c>
      <c r="Q21" s="3" t="str">
        <f t="shared" si="10"/>
        <v>Growing</v>
      </c>
      <c r="R21" s="3">
        <f>IF(COUNTIFS($C$2:C21,C21,$J$2:J21,J21)=1,1,0)</f>
        <v>1</v>
      </c>
    </row>
    <row r="22" spans="1:18">
      <c r="A22" s="1">
        <v>44730</v>
      </c>
      <c r="B22" t="s">
        <v>6</v>
      </c>
      <c r="C22" t="s">
        <v>7</v>
      </c>
      <c r="D22">
        <v>15</v>
      </c>
      <c r="E22">
        <v>238.86</v>
      </c>
      <c r="F22" t="s">
        <v>8</v>
      </c>
      <c r="G22">
        <f t="shared" si="0"/>
        <v>2022</v>
      </c>
      <c r="H22" s="3" t="str">
        <f t="shared" si="1"/>
        <v>Jun</v>
      </c>
      <c r="I22" s="8">
        <f t="shared" si="2"/>
        <v>6</v>
      </c>
      <c r="J22" s="4">
        <f t="shared" si="3"/>
        <v>44713</v>
      </c>
      <c r="K22" s="3" t="str">
        <f t="shared" si="4"/>
        <v>2022-Jun</v>
      </c>
      <c r="L22" s="8">
        <f t="shared" si="5"/>
        <v>1013.7</v>
      </c>
      <c r="M22" s="8">
        <f t="shared" si="6"/>
        <v>862.01874999999984</v>
      </c>
      <c r="N22" s="6">
        <f t="shared" si="7"/>
        <v>1.1759604996991078</v>
      </c>
      <c r="O22" s="8">
        <f t="shared" si="8"/>
        <v>459.62</v>
      </c>
      <c r="P22" s="6">
        <f t="shared" si="9"/>
        <v>1.2055176014968889</v>
      </c>
      <c r="Q22" s="3" t="str">
        <f t="shared" si="10"/>
        <v>Growing</v>
      </c>
      <c r="R22" s="3">
        <f>IF(COUNTIFS($C$2:C22,C22,$J$2:J22,J22)=1,1,0)</f>
        <v>0</v>
      </c>
    </row>
    <row r="23" spans="1:18">
      <c r="A23" s="1">
        <v>44748</v>
      </c>
      <c r="B23" t="s">
        <v>17</v>
      </c>
      <c r="C23" t="s">
        <v>20</v>
      </c>
      <c r="D23">
        <v>20</v>
      </c>
      <c r="E23">
        <v>272.37</v>
      </c>
      <c r="F23" t="s">
        <v>14</v>
      </c>
      <c r="G23">
        <f t="shared" si="0"/>
        <v>2022</v>
      </c>
      <c r="H23" s="3" t="str">
        <f t="shared" si="1"/>
        <v>Jul</v>
      </c>
      <c r="I23" s="8">
        <f t="shared" si="2"/>
        <v>7</v>
      </c>
      <c r="J23" s="4">
        <f t="shared" si="3"/>
        <v>44743</v>
      </c>
      <c r="K23" s="3" t="str">
        <f t="shared" si="4"/>
        <v>2022-Jul</v>
      </c>
      <c r="L23" s="8">
        <f t="shared" si="5"/>
        <v>1056.4100000000001</v>
      </c>
      <c r="M23" s="8">
        <f t="shared" si="6"/>
        <v>1945.9349999999999</v>
      </c>
      <c r="N23" s="6">
        <f t="shared" si="7"/>
        <v>0.54288041481344451</v>
      </c>
      <c r="O23" s="8">
        <f t="shared" si="8"/>
        <v>46.75</v>
      </c>
      <c r="P23" s="6">
        <f t="shared" si="9"/>
        <v>21.597005347593583</v>
      </c>
      <c r="Q23" s="3" t="str">
        <f t="shared" si="10"/>
        <v>Growing</v>
      </c>
      <c r="R23" s="3">
        <f>IF(COUNTIFS($C$2:C23,C23,$J$2:J23,J23)=1,1,0)</f>
        <v>1</v>
      </c>
    </row>
    <row r="24" spans="1:18">
      <c r="A24" s="1">
        <v>44706</v>
      </c>
      <c r="B24" t="s">
        <v>21</v>
      </c>
      <c r="C24" t="s">
        <v>23</v>
      </c>
      <c r="D24">
        <v>8</v>
      </c>
      <c r="E24">
        <v>82.86</v>
      </c>
      <c r="F24" t="s">
        <v>16</v>
      </c>
      <c r="G24">
        <f t="shared" si="0"/>
        <v>2022</v>
      </c>
      <c r="H24" s="3" t="str">
        <f t="shared" si="1"/>
        <v>May</v>
      </c>
      <c r="I24" s="8">
        <f t="shared" si="2"/>
        <v>5</v>
      </c>
      <c r="J24" s="4">
        <f t="shared" si="3"/>
        <v>44682</v>
      </c>
      <c r="K24" s="3" t="str">
        <f t="shared" si="4"/>
        <v>2022-May</v>
      </c>
      <c r="L24" s="8">
        <f t="shared" si="5"/>
        <v>185.17000000000002</v>
      </c>
      <c r="M24" s="8">
        <f t="shared" si="6"/>
        <v>2805.9894545454554</v>
      </c>
      <c r="N24" s="6">
        <f t="shared" si="7"/>
        <v>6.5990982147149893E-2</v>
      </c>
      <c r="O24" s="8">
        <f t="shared" si="8"/>
        <v>1623.23</v>
      </c>
      <c r="P24" s="6">
        <f t="shared" si="9"/>
        <v>-0.88592497674389947</v>
      </c>
      <c r="Q24" s="3" t="str">
        <f t="shared" si="10"/>
        <v>Degrowing</v>
      </c>
      <c r="R24" s="3">
        <f>IF(COUNTIFS($C$2:C24,C24,$J$2:J24,J24)=1,1,0)</f>
        <v>1</v>
      </c>
    </row>
    <row r="25" spans="1:18">
      <c r="A25" s="1">
        <v>44677</v>
      </c>
      <c r="B25" t="s">
        <v>17</v>
      </c>
      <c r="C25" t="s">
        <v>24</v>
      </c>
      <c r="D25">
        <v>19</v>
      </c>
      <c r="E25">
        <v>447.21</v>
      </c>
      <c r="F25" t="s">
        <v>22</v>
      </c>
      <c r="G25">
        <f t="shared" si="0"/>
        <v>2022</v>
      </c>
      <c r="H25" s="3" t="str">
        <f t="shared" si="1"/>
        <v>Apr</v>
      </c>
      <c r="I25" s="8">
        <f t="shared" si="2"/>
        <v>4</v>
      </c>
      <c r="J25" s="4">
        <f t="shared" si="3"/>
        <v>44652</v>
      </c>
      <c r="K25" s="3" t="str">
        <f t="shared" si="4"/>
        <v>2022-Apr</v>
      </c>
      <c r="L25" s="8">
        <f t="shared" si="5"/>
        <v>865.70999999999992</v>
      </c>
      <c r="M25" s="8">
        <f t="shared" si="6"/>
        <v>2189.9328888888886</v>
      </c>
      <c r="N25" s="6">
        <f t="shared" si="7"/>
        <v>0.39531348398499888</v>
      </c>
      <c r="O25" s="8">
        <f t="shared" si="8"/>
        <v>760.68999999999994</v>
      </c>
      <c r="P25" s="6">
        <f t="shared" si="9"/>
        <v>0.13805886760704097</v>
      </c>
      <c r="Q25" s="3" t="str">
        <f t="shared" si="10"/>
        <v>Growing</v>
      </c>
      <c r="R25" s="3">
        <f>IF(COUNTIFS($C$2:C25,C25,$J$2:J25,J25)=1,1,0)</f>
        <v>1</v>
      </c>
    </row>
    <row r="26" spans="1:18">
      <c r="A26" s="1">
        <v>44738</v>
      </c>
      <c r="B26" t="s">
        <v>17</v>
      </c>
      <c r="C26" t="s">
        <v>19</v>
      </c>
      <c r="D26">
        <v>1</v>
      </c>
      <c r="E26">
        <v>9.98</v>
      </c>
      <c r="F26" t="s">
        <v>11</v>
      </c>
      <c r="G26">
        <f t="shared" si="0"/>
        <v>2022</v>
      </c>
      <c r="H26" s="3" t="str">
        <f t="shared" si="1"/>
        <v>Jun</v>
      </c>
      <c r="I26" s="8">
        <f t="shared" si="2"/>
        <v>6</v>
      </c>
      <c r="J26" s="4">
        <f t="shared" si="3"/>
        <v>44713</v>
      </c>
      <c r="K26" s="3" t="str">
        <f t="shared" si="4"/>
        <v>2022-Jun</v>
      </c>
      <c r="L26" s="8">
        <f t="shared" si="5"/>
        <v>1655.98</v>
      </c>
      <c r="M26" s="8">
        <f t="shared" si="6"/>
        <v>591.22648148148176</v>
      </c>
      <c r="N26" s="6">
        <f t="shared" si="7"/>
        <v>2.8009232533875736</v>
      </c>
      <c r="O26" s="8">
        <f t="shared" si="8"/>
        <v>1584.09</v>
      </c>
      <c r="P26" s="6">
        <f t="shared" si="9"/>
        <v>4.5382522457688708E-2</v>
      </c>
      <c r="Q26" s="3" t="str">
        <f t="shared" si="10"/>
        <v>Growing</v>
      </c>
      <c r="R26" s="3">
        <f>IF(COUNTIFS($C$2:C26,C26,$J$2:J26,J26)=1,1,0)</f>
        <v>0</v>
      </c>
    </row>
    <row r="27" spans="1:18">
      <c r="A27" s="1">
        <v>44743</v>
      </c>
      <c r="B27" t="s">
        <v>6</v>
      </c>
      <c r="C27" t="s">
        <v>23</v>
      </c>
      <c r="D27">
        <v>5</v>
      </c>
      <c r="E27">
        <v>101.4</v>
      </c>
      <c r="F27" t="s">
        <v>22</v>
      </c>
      <c r="G27">
        <f t="shared" si="0"/>
        <v>2022</v>
      </c>
      <c r="H27" s="3" t="str">
        <f t="shared" si="1"/>
        <v>Jul</v>
      </c>
      <c r="I27" s="8">
        <f t="shared" si="2"/>
        <v>7</v>
      </c>
      <c r="J27" s="4">
        <f t="shared" si="3"/>
        <v>44743</v>
      </c>
      <c r="K27" s="3" t="str">
        <f t="shared" si="4"/>
        <v>2022-Jul</v>
      </c>
      <c r="L27" s="8">
        <f t="shared" si="5"/>
        <v>1698.9899999999998</v>
      </c>
      <c r="M27" s="8">
        <f t="shared" si="6"/>
        <v>1202.5669090909096</v>
      </c>
      <c r="N27" s="6">
        <f t="shared" si="7"/>
        <v>1.4128028861898132</v>
      </c>
      <c r="O27" s="8">
        <f t="shared" si="8"/>
        <v>2252.73</v>
      </c>
      <c r="P27" s="6">
        <f t="shared" si="9"/>
        <v>-0.24580841911813675</v>
      </c>
      <c r="Q27" s="3" t="str">
        <f t="shared" si="10"/>
        <v>Degrowing</v>
      </c>
      <c r="R27" s="3">
        <f>IF(COUNTIFS($C$2:C27,C27,$J$2:J27,J27)=1,1,0)</f>
        <v>1</v>
      </c>
    </row>
    <row r="28" spans="1:18">
      <c r="A28" s="1">
        <v>44801</v>
      </c>
      <c r="B28" t="s">
        <v>15</v>
      </c>
      <c r="C28" t="s">
        <v>20</v>
      </c>
      <c r="D28">
        <v>13</v>
      </c>
      <c r="E28">
        <v>206.79</v>
      </c>
      <c r="F28" t="s">
        <v>22</v>
      </c>
      <c r="G28">
        <f t="shared" si="0"/>
        <v>2022</v>
      </c>
      <c r="H28" s="3" t="str">
        <f t="shared" si="1"/>
        <v>Aug</v>
      </c>
      <c r="I28" s="8">
        <f t="shared" si="2"/>
        <v>8</v>
      </c>
      <c r="J28" s="4">
        <f t="shared" si="3"/>
        <v>44774</v>
      </c>
      <c r="K28" s="3" t="str">
        <f t="shared" si="4"/>
        <v>2022-Aug</v>
      </c>
      <c r="L28" s="8">
        <f t="shared" si="5"/>
        <v>507.65</v>
      </c>
      <c r="M28" s="8">
        <f t="shared" si="6"/>
        <v>1945.9349999999999</v>
      </c>
      <c r="N28" s="6">
        <f t="shared" si="7"/>
        <v>0.26087716187847998</v>
      </c>
      <c r="O28" s="8">
        <f t="shared" si="8"/>
        <v>1056.4100000000001</v>
      </c>
      <c r="P28" s="6">
        <f t="shared" si="9"/>
        <v>-0.51945740763529313</v>
      </c>
      <c r="Q28" s="3" t="str">
        <f t="shared" si="10"/>
        <v>Degrowing</v>
      </c>
      <c r="R28" s="3">
        <f>IF(COUNTIFS($C$2:C28,C28,$J$2:J28,J28)=1,1,0)</f>
        <v>1</v>
      </c>
    </row>
    <row r="29" spans="1:18">
      <c r="A29" s="1">
        <v>44750</v>
      </c>
      <c r="B29" t="s">
        <v>21</v>
      </c>
      <c r="C29" t="s">
        <v>24</v>
      </c>
      <c r="D29">
        <v>11</v>
      </c>
      <c r="E29">
        <v>153.08000000000001</v>
      </c>
      <c r="F29" t="s">
        <v>14</v>
      </c>
      <c r="G29">
        <f t="shared" si="0"/>
        <v>2022</v>
      </c>
      <c r="H29" s="3" t="str">
        <f t="shared" si="1"/>
        <v>Jul</v>
      </c>
      <c r="I29" s="8">
        <f t="shared" si="2"/>
        <v>7</v>
      </c>
      <c r="J29" s="4">
        <f t="shared" si="3"/>
        <v>44743</v>
      </c>
      <c r="K29" s="3" t="str">
        <f t="shared" si="4"/>
        <v>2022-Jul</v>
      </c>
      <c r="L29" s="8">
        <f t="shared" si="5"/>
        <v>874.87</v>
      </c>
      <c r="M29" s="8">
        <f t="shared" si="6"/>
        <v>938.54266666666649</v>
      </c>
      <c r="N29" s="6">
        <f t="shared" si="7"/>
        <v>0.9321579413189528</v>
      </c>
      <c r="O29" s="8">
        <f t="shared" si="8"/>
        <v>704.09</v>
      </c>
      <c r="P29" s="6">
        <f t="shared" si="9"/>
        <v>0.24255421892087653</v>
      </c>
      <c r="Q29" s="3" t="str">
        <f t="shared" si="10"/>
        <v>Growing</v>
      </c>
      <c r="R29" s="3">
        <f>IF(COUNTIFS($C$2:C29,C29,$J$2:J29,J29)=1,1,0)</f>
        <v>1</v>
      </c>
    </row>
    <row r="30" spans="1:18">
      <c r="A30" s="1">
        <v>44595</v>
      </c>
      <c r="B30" t="s">
        <v>15</v>
      </c>
      <c r="C30" t="s">
        <v>24</v>
      </c>
      <c r="D30">
        <v>18</v>
      </c>
      <c r="E30">
        <v>411.44</v>
      </c>
      <c r="F30" t="s">
        <v>16</v>
      </c>
      <c r="G30">
        <f t="shared" si="0"/>
        <v>2022</v>
      </c>
      <c r="H30" s="3" t="str">
        <f t="shared" si="1"/>
        <v>Feb</v>
      </c>
      <c r="I30" s="8">
        <f t="shared" si="2"/>
        <v>2</v>
      </c>
      <c r="J30" s="4">
        <f t="shared" si="3"/>
        <v>44593</v>
      </c>
      <c r="K30" s="3" t="str">
        <f t="shared" si="4"/>
        <v>2022-Feb</v>
      </c>
      <c r="L30" s="8">
        <f t="shared" si="5"/>
        <v>930.81000000000006</v>
      </c>
      <c r="M30" s="8">
        <f t="shared" si="6"/>
        <v>1094.9664444444443</v>
      </c>
      <c r="N30" s="6">
        <f t="shared" si="7"/>
        <v>0.85008084468950762</v>
      </c>
      <c r="O30" s="8">
        <f t="shared" si="8"/>
        <v>1214.3899999999999</v>
      </c>
      <c r="P30" s="6">
        <f t="shared" si="9"/>
        <v>-0.23351641564900885</v>
      </c>
      <c r="Q30" s="3" t="str">
        <f t="shared" si="10"/>
        <v>Degrowing</v>
      </c>
      <c r="R30" s="3">
        <f>IF(COUNTIFS($C$2:C30,C30,$J$2:J30,J30)=1,1,0)</f>
        <v>1</v>
      </c>
    </row>
    <row r="31" spans="1:18">
      <c r="A31" s="1">
        <v>44637</v>
      </c>
      <c r="B31" t="s">
        <v>21</v>
      </c>
      <c r="C31" t="s">
        <v>23</v>
      </c>
      <c r="D31">
        <v>5</v>
      </c>
      <c r="E31">
        <v>46.92</v>
      </c>
      <c r="F31" t="s">
        <v>11</v>
      </c>
      <c r="G31">
        <f t="shared" si="0"/>
        <v>2022</v>
      </c>
      <c r="H31" s="3" t="str">
        <f t="shared" si="1"/>
        <v>Mar</v>
      </c>
      <c r="I31" s="8">
        <f t="shared" si="2"/>
        <v>3</v>
      </c>
      <c r="J31" s="4">
        <f t="shared" si="3"/>
        <v>44621</v>
      </c>
      <c r="K31" s="3" t="str">
        <f t="shared" si="4"/>
        <v>2022-Mar</v>
      </c>
      <c r="L31" s="8">
        <f t="shared" si="5"/>
        <v>1922.5800000000002</v>
      </c>
      <c r="M31" s="8">
        <f t="shared" si="6"/>
        <v>841.79683636363654</v>
      </c>
      <c r="N31" s="6">
        <f t="shared" si="7"/>
        <v>2.2839002440364253</v>
      </c>
      <c r="O31" s="8">
        <f t="shared" si="8"/>
        <v>1770.3600000000001</v>
      </c>
      <c r="P31" s="6">
        <f t="shared" si="9"/>
        <v>8.5982512031451241E-2</v>
      </c>
      <c r="Q31" s="3" t="str">
        <f t="shared" si="10"/>
        <v>Growing</v>
      </c>
      <c r="R31" s="3">
        <f>IF(COUNTIFS($C$2:C31,C31,$J$2:J31,J31)=1,1,0)</f>
        <v>1</v>
      </c>
    </row>
    <row r="32" spans="1:18">
      <c r="A32" s="1">
        <v>44737</v>
      </c>
      <c r="B32" t="s">
        <v>12</v>
      </c>
      <c r="C32" t="s">
        <v>7</v>
      </c>
      <c r="D32">
        <v>3</v>
      </c>
      <c r="E32">
        <v>42.85</v>
      </c>
      <c r="F32" t="s">
        <v>14</v>
      </c>
      <c r="G32">
        <f t="shared" si="0"/>
        <v>2022</v>
      </c>
      <c r="H32" s="3" t="str">
        <f t="shared" si="1"/>
        <v>Jun</v>
      </c>
      <c r="I32" s="8">
        <f t="shared" si="2"/>
        <v>6</v>
      </c>
      <c r="J32" s="4">
        <f t="shared" si="3"/>
        <v>44713</v>
      </c>
      <c r="K32" s="3" t="str">
        <f t="shared" si="4"/>
        <v>2022-Jun</v>
      </c>
      <c r="L32" s="8">
        <f t="shared" si="5"/>
        <v>1013.7</v>
      </c>
      <c r="M32" s="8">
        <f t="shared" si="6"/>
        <v>862.01874999999984</v>
      </c>
      <c r="N32" s="6">
        <f t="shared" si="7"/>
        <v>1.1759604996991078</v>
      </c>
      <c r="O32" s="8">
        <f t="shared" si="8"/>
        <v>459.62</v>
      </c>
      <c r="P32" s="6">
        <f t="shared" si="9"/>
        <v>1.2055176014968889</v>
      </c>
      <c r="Q32" s="3" t="str">
        <f t="shared" si="10"/>
        <v>Growing</v>
      </c>
      <c r="R32" s="3">
        <f>IF(COUNTIFS($C$2:C32,C32,$J$2:J32,J32)=1,1,0)</f>
        <v>0</v>
      </c>
    </row>
    <row r="33" spans="1:18">
      <c r="A33" s="1">
        <v>44723</v>
      </c>
      <c r="B33" t="s">
        <v>17</v>
      </c>
      <c r="C33" t="s">
        <v>19</v>
      </c>
      <c r="D33">
        <v>2</v>
      </c>
      <c r="E33">
        <v>40.17</v>
      </c>
      <c r="F33" t="s">
        <v>14</v>
      </c>
      <c r="G33">
        <f t="shared" si="0"/>
        <v>2022</v>
      </c>
      <c r="H33" s="3" t="str">
        <f t="shared" si="1"/>
        <v>Jun</v>
      </c>
      <c r="I33" s="8">
        <f t="shared" si="2"/>
        <v>6</v>
      </c>
      <c r="J33" s="4">
        <f t="shared" si="3"/>
        <v>44713</v>
      </c>
      <c r="K33" s="3" t="str">
        <f t="shared" si="4"/>
        <v>2022-Jun</v>
      </c>
      <c r="L33" s="8">
        <f t="shared" si="5"/>
        <v>1655.98</v>
      </c>
      <c r="M33" s="8">
        <f t="shared" si="6"/>
        <v>591.22648148148176</v>
      </c>
      <c r="N33" s="6">
        <f t="shared" si="7"/>
        <v>2.8009232533875736</v>
      </c>
      <c r="O33" s="8">
        <f t="shared" si="8"/>
        <v>1584.09</v>
      </c>
      <c r="P33" s="6">
        <f t="shared" si="9"/>
        <v>4.5382522457688708E-2</v>
      </c>
      <c r="Q33" s="3" t="str">
        <f t="shared" si="10"/>
        <v>Growing</v>
      </c>
      <c r="R33" s="3">
        <f>IF(COUNTIFS($C$2:C33,C33,$J$2:J33,J33)=1,1,0)</f>
        <v>0</v>
      </c>
    </row>
    <row r="34" spans="1:18">
      <c r="A34" s="1">
        <v>44649</v>
      </c>
      <c r="B34" t="s">
        <v>9</v>
      </c>
      <c r="C34" t="s">
        <v>23</v>
      </c>
      <c r="D34">
        <v>13</v>
      </c>
      <c r="E34">
        <v>243.79</v>
      </c>
      <c r="F34" t="s">
        <v>11</v>
      </c>
      <c r="G34">
        <f t="shared" si="0"/>
        <v>2022</v>
      </c>
      <c r="H34" s="3" t="str">
        <f t="shared" si="1"/>
        <v>Mar</v>
      </c>
      <c r="I34" s="8">
        <f t="shared" si="2"/>
        <v>3</v>
      </c>
      <c r="J34" s="4">
        <f t="shared" si="3"/>
        <v>44621</v>
      </c>
      <c r="K34" s="3" t="str">
        <f t="shared" si="4"/>
        <v>2022-Mar</v>
      </c>
      <c r="L34" s="8">
        <f t="shared" si="5"/>
        <v>1922.5800000000002</v>
      </c>
      <c r="M34" s="8">
        <f t="shared" si="6"/>
        <v>841.79683636363654</v>
      </c>
      <c r="N34" s="6">
        <f t="shared" si="7"/>
        <v>2.2839002440364253</v>
      </c>
      <c r="O34" s="8">
        <f t="shared" si="8"/>
        <v>1770.3600000000001</v>
      </c>
      <c r="P34" s="6">
        <f t="shared" si="9"/>
        <v>8.5982512031451241E-2</v>
      </c>
      <c r="Q34" s="3" t="str">
        <f t="shared" si="10"/>
        <v>Growing</v>
      </c>
      <c r="R34" s="3">
        <f>IF(COUNTIFS($C$2:C34,C34,$J$2:J34,J34)=1,1,0)</f>
        <v>0</v>
      </c>
    </row>
    <row r="35" spans="1:18">
      <c r="A35" s="1">
        <v>44646</v>
      </c>
      <c r="B35" t="s">
        <v>9</v>
      </c>
      <c r="C35" t="s">
        <v>19</v>
      </c>
      <c r="D35">
        <v>2</v>
      </c>
      <c r="E35">
        <v>44.86</v>
      </c>
      <c r="F35" t="s">
        <v>14</v>
      </c>
      <c r="G35">
        <f t="shared" si="0"/>
        <v>2022</v>
      </c>
      <c r="H35" s="3" t="str">
        <f t="shared" si="1"/>
        <v>Mar</v>
      </c>
      <c r="I35" s="8">
        <f t="shared" si="2"/>
        <v>3</v>
      </c>
      <c r="J35" s="4">
        <f t="shared" si="3"/>
        <v>44621</v>
      </c>
      <c r="K35" s="3" t="str">
        <f t="shared" si="4"/>
        <v>2022-Mar</v>
      </c>
      <c r="L35" s="8">
        <f t="shared" si="5"/>
        <v>1095.8999999999999</v>
      </c>
      <c r="M35" s="8">
        <f t="shared" si="6"/>
        <v>1418.943555555556</v>
      </c>
      <c r="N35" s="6">
        <f t="shared" si="7"/>
        <v>0.77233516140176861</v>
      </c>
      <c r="O35" s="8">
        <f t="shared" si="8"/>
        <v>519.11</v>
      </c>
      <c r="P35" s="6">
        <f t="shared" si="9"/>
        <v>1.1111132515266511</v>
      </c>
      <c r="Q35" s="3" t="str">
        <f t="shared" si="10"/>
        <v>Growing</v>
      </c>
      <c r="R35" s="3">
        <f>IF(COUNTIFS($C$2:C35,C35,$J$2:J35,J35)=1,1,0)</f>
        <v>0</v>
      </c>
    </row>
    <row r="36" spans="1:18">
      <c r="A36" s="1">
        <v>44757</v>
      </c>
      <c r="B36" t="s">
        <v>15</v>
      </c>
      <c r="C36" t="s">
        <v>10</v>
      </c>
      <c r="D36">
        <v>19</v>
      </c>
      <c r="E36">
        <v>288.39999999999998</v>
      </c>
      <c r="F36" t="s">
        <v>14</v>
      </c>
      <c r="G36">
        <f t="shared" si="0"/>
        <v>2022</v>
      </c>
      <c r="H36" s="3" t="str">
        <f t="shared" si="1"/>
        <v>Jul</v>
      </c>
      <c r="I36" s="8">
        <f t="shared" si="2"/>
        <v>7</v>
      </c>
      <c r="J36" s="4">
        <f t="shared" si="3"/>
        <v>44743</v>
      </c>
      <c r="K36" s="3" t="str">
        <f t="shared" si="4"/>
        <v>2022-Jul</v>
      </c>
      <c r="L36" s="8">
        <f t="shared" si="5"/>
        <v>1166.76</v>
      </c>
      <c r="M36" s="8">
        <f t="shared" si="6"/>
        <v>1682.6395384615382</v>
      </c>
      <c r="N36" s="6">
        <f t="shared" si="7"/>
        <v>0.69341054535470237</v>
      </c>
      <c r="O36" s="8">
        <f t="shared" si="8"/>
        <v>761.09999999999991</v>
      </c>
      <c r="P36" s="6">
        <f t="shared" si="9"/>
        <v>0.53299172250689808</v>
      </c>
      <c r="Q36" s="3" t="str">
        <f t="shared" si="10"/>
        <v>Growing</v>
      </c>
      <c r="R36" s="3">
        <f>IF(COUNTIFS($C$2:C36,C36,$J$2:J36,J36)=1,1,0)</f>
        <v>1</v>
      </c>
    </row>
    <row r="37" spans="1:18">
      <c r="A37" s="1">
        <v>44758</v>
      </c>
      <c r="B37" t="s">
        <v>12</v>
      </c>
      <c r="C37" t="s">
        <v>24</v>
      </c>
      <c r="D37">
        <v>9</v>
      </c>
      <c r="E37">
        <v>137.02000000000001</v>
      </c>
      <c r="F37" t="s">
        <v>22</v>
      </c>
      <c r="G37">
        <f t="shared" si="0"/>
        <v>2022</v>
      </c>
      <c r="H37" s="3" t="str">
        <f t="shared" si="1"/>
        <v>Jul</v>
      </c>
      <c r="I37" s="8">
        <f t="shared" si="2"/>
        <v>7</v>
      </c>
      <c r="J37" s="4">
        <f t="shared" si="3"/>
        <v>44743</v>
      </c>
      <c r="K37" s="3" t="str">
        <f t="shared" si="4"/>
        <v>2022-Jul</v>
      </c>
      <c r="L37" s="8">
        <f t="shared" si="5"/>
        <v>874.87</v>
      </c>
      <c r="M37" s="8">
        <f t="shared" si="6"/>
        <v>938.54266666666649</v>
      </c>
      <c r="N37" s="6">
        <f t="shared" si="7"/>
        <v>0.9321579413189528</v>
      </c>
      <c r="O37" s="8">
        <f t="shared" si="8"/>
        <v>704.09</v>
      </c>
      <c r="P37" s="6">
        <f t="shared" si="9"/>
        <v>0.24255421892087653</v>
      </c>
      <c r="Q37" s="3" t="str">
        <f t="shared" si="10"/>
        <v>Growing</v>
      </c>
      <c r="R37" s="3">
        <f>IF(COUNTIFS($C$2:C37,C37,$J$2:J37,J37)=1,1,0)</f>
        <v>0</v>
      </c>
    </row>
    <row r="38" spans="1:18">
      <c r="A38" s="1">
        <v>44684</v>
      </c>
      <c r="B38" t="s">
        <v>9</v>
      </c>
      <c r="C38" t="s">
        <v>19</v>
      </c>
      <c r="D38">
        <v>11</v>
      </c>
      <c r="E38">
        <v>228.69</v>
      </c>
      <c r="F38" t="s">
        <v>22</v>
      </c>
      <c r="G38">
        <f t="shared" si="0"/>
        <v>2022</v>
      </c>
      <c r="H38" s="3" t="str">
        <f t="shared" si="1"/>
        <v>May</v>
      </c>
      <c r="I38" s="8">
        <f t="shared" si="2"/>
        <v>5</v>
      </c>
      <c r="J38" s="4">
        <f t="shared" si="3"/>
        <v>44682</v>
      </c>
      <c r="K38" s="3" t="str">
        <f t="shared" si="4"/>
        <v>2022-May</v>
      </c>
      <c r="L38" s="8">
        <f t="shared" si="5"/>
        <v>1584.09</v>
      </c>
      <c r="M38" s="8">
        <f t="shared" si="6"/>
        <v>709.47177777777802</v>
      </c>
      <c r="N38" s="6">
        <f t="shared" si="7"/>
        <v>2.2327738038597094</v>
      </c>
      <c r="O38" s="8">
        <f t="shared" si="8"/>
        <v>377.24</v>
      </c>
      <c r="P38" s="6">
        <f t="shared" si="9"/>
        <v>3.1991570353090868</v>
      </c>
      <c r="Q38" s="3" t="str">
        <f t="shared" si="10"/>
        <v>Growing</v>
      </c>
      <c r="R38" s="3">
        <f>IF(COUNTIFS($C$2:C38,C38,$J$2:J38,J38)=1,1,0)</f>
        <v>1</v>
      </c>
    </row>
    <row r="39" spans="1:18">
      <c r="A39" s="1">
        <v>44729</v>
      </c>
      <c r="B39" t="s">
        <v>15</v>
      </c>
      <c r="C39" t="s">
        <v>23</v>
      </c>
      <c r="D39">
        <v>14</v>
      </c>
      <c r="E39">
        <v>287.52999999999997</v>
      </c>
      <c r="F39" t="s">
        <v>16</v>
      </c>
      <c r="G39">
        <f t="shared" si="0"/>
        <v>2022</v>
      </c>
      <c r="H39" s="3" t="str">
        <f t="shared" si="1"/>
        <v>Jun</v>
      </c>
      <c r="I39" s="8">
        <f t="shared" si="2"/>
        <v>6</v>
      </c>
      <c r="J39" s="4">
        <f t="shared" si="3"/>
        <v>44713</v>
      </c>
      <c r="K39" s="3" t="str">
        <f t="shared" si="4"/>
        <v>2022-Jun</v>
      </c>
      <c r="L39" s="8">
        <f t="shared" si="5"/>
        <v>2252.73</v>
      </c>
      <c r="M39" s="8">
        <f t="shared" si="6"/>
        <v>765.26985123966961</v>
      </c>
      <c r="N39" s="6">
        <f t="shared" si="7"/>
        <v>2.9437067151551526</v>
      </c>
      <c r="O39" s="8">
        <f t="shared" si="8"/>
        <v>185.17000000000002</v>
      </c>
      <c r="P39" s="6">
        <f t="shared" si="9"/>
        <v>11.165739590646432</v>
      </c>
      <c r="Q39" s="3" t="str">
        <f t="shared" si="10"/>
        <v>Growing</v>
      </c>
      <c r="R39" s="3">
        <f>IF(COUNTIFS($C$2:C39,C39,$J$2:J39,J39)=1,1,0)</f>
        <v>1</v>
      </c>
    </row>
    <row r="40" spans="1:18">
      <c r="A40" s="1">
        <v>44664</v>
      </c>
      <c r="B40" t="s">
        <v>15</v>
      </c>
      <c r="C40" t="s">
        <v>23</v>
      </c>
      <c r="D40">
        <v>14</v>
      </c>
      <c r="E40">
        <v>294.16000000000003</v>
      </c>
      <c r="F40" t="s">
        <v>8</v>
      </c>
      <c r="G40">
        <f t="shared" si="0"/>
        <v>2022</v>
      </c>
      <c r="H40" s="3" t="str">
        <f t="shared" si="1"/>
        <v>Apr</v>
      </c>
      <c r="I40" s="8">
        <f t="shared" si="2"/>
        <v>4</v>
      </c>
      <c r="J40" s="4">
        <f t="shared" si="3"/>
        <v>44652</v>
      </c>
      <c r="K40" s="3" t="str">
        <f t="shared" si="4"/>
        <v>2022-Apr</v>
      </c>
      <c r="L40" s="8">
        <f t="shared" si="5"/>
        <v>1623.23</v>
      </c>
      <c r="M40" s="8">
        <f t="shared" si="6"/>
        <v>1402.9947272727277</v>
      </c>
      <c r="N40" s="6">
        <f t="shared" si="7"/>
        <v>1.156975125028008</v>
      </c>
      <c r="O40" s="8">
        <f t="shared" si="8"/>
        <v>1922.5800000000002</v>
      </c>
      <c r="P40" s="6">
        <f t="shared" si="9"/>
        <v>-0.15570223345712539</v>
      </c>
      <c r="Q40" s="3" t="str">
        <f t="shared" si="10"/>
        <v>Degrowing</v>
      </c>
      <c r="R40" s="3">
        <f>IF(COUNTIFS($C$2:C40,C40,$J$2:J40,J40)=1,1,0)</f>
        <v>1</v>
      </c>
    </row>
    <row r="41" spans="1:18">
      <c r="A41" s="1">
        <v>44747</v>
      </c>
      <c r="B41" t="s">
        <v>9</v>
      </c>
      <c r="C41" t="s">
        <v>10</v>
      </c>
      <c r="D41">
        <v>19</v>
      </c>
      <c r="E41">
        <v>217.38</v>
      </c>
      <c r="F41" t="s">
        <v>22</v>
      </c>
      <c r="G41">
        <f t="shared" si="0"/>
        <v>2022</v>
      </c>
      <c r="H41" s="3" t="str">
        <f t="shared" si="1"/>
        <v>Jul</v>
      </c>
      <c r="I41" s="8">
        <f t="shared" si="2"/>
        <v>7</v>
      </c>
      <c r="J41" s="4">
        <f t="shared" si="3"/>
        <v>44743</v>
      </c>
      <c r="K41" s="3" t="str">
        <f t="shared" si="4"/>
        <v>2022-Jul</v>
      </c>
      <c r="L41" s="8">
        <f t="shared" si="5"/>
        <v>1166.76</v>
      </c>
      <c r="M41" s="8">
        <f t="shared" si="6"/>
        <v>1682.6395384615382</v>
      </c>
      <c r="N41" s="6">
        <f t="shared" si="7"/>
        <v>0.69341054535470237</v>
      </c>
      <c r="O41" s="8">
        <f t="shared" si="8"/>
        <v>761.09999999999991</v>
      </c>
      <c r="P41" s="6">
        <f t="shared" si="9"/>
        <v>0.53299172250689808</v>
      </c>
      <c r="Q41" s="3" t="str">
        <f t="shared" si="10"/>
        <v>Growing</v>
      </c>
      <c r="R41" s="3">
        <f>IF(COUNTIFS($C$2:C41,C41,$J$2:J41,J41)=1,1,0)</f>
        <v>0</v>
      </c>
    </row>
    <row r="42" spans="1:18">
      <c r="A42" s="1">
        <v>44779</v>
      </c>
      <c r="B42" t="s">
        <v>12</v>
      </c>
      <c r="C42" t="s">
        <v>7</v>
      </c>
      <c r="D42">
        <v>13</v>
      </c>
      <c r="E42">
        <v>232.97</v>
      </c>
      <c r="F42" t="s">
        <v>11</v>
      </c>
      <c r="G42">
        <f t="shared" si="0"/>
        <v>2022</v>
      </c>
      <c r="H42" s="3" t="str">
        <f t="shared" si="1"/>
        <v>Aug</v>
      </c>
      <c r="I42" s="8">
        <f t="shared" si="2"/>
        <v>8</v>
      </c>
      <c r="J42" s="4">
        <f t="shared" si="3"/>
        <v>44774</v>
      </c>
      <c r="K42" s="3" t="str">
        <f t="shared" si="4"/>
        <v>2022-Aug</v>
      </c>
      <c r="L42" s="8">
        <f t="shared" si="5"/>
        <v>1020.76</v>
      </c>
      <c r="M42" s="8">
        <f t="shared" si="6"/>
        <v>1206.8262499999996</v>
      </c>
      <c r="N42" s="6">
        <f t="shared" si="7"/>
        <v>0.8458218405507838</v>
      </c>
      <c r="O42" s="8">
        <f t="shared" si="8"/>
        <v>537.31000000000006</v>
      </c>
      <c r="P42" s="6">
        <f t="shared" si="9"/>
        <v>0.89975991513279086</v>
      </c>
      <c r="Q42" s="3" t="str">
        <f t="shared" si="10"/>
        <v>Growing</v>
      </c>
      <c r="R42" s="3">
        <f>IF(COUNTIFS($C$2:C42,C42,$J$2:J42,J42)=1,1,0)</f>
        <v>1</v>
      </c>
    </row>
    <row r="43" spans="1:18">
      <c r="A43" s="1">
        <v>44706</v>
      </c>
      <c r="B43" t="s">
        <v>9</v>
      </c>
      <c r="C43" t="s">
        <v>13</v>
      </c>
      <c r="D43">
        <v>3</v>
      </c>
      <c r="E43">
        <v>34.74</v>
      </c>
      <c r="F43" t="s">
        <v>14</v>
      </c>
      <c r="G43">
        <f t="shared" si="0"/>
        <v>2022</v>
      </c>
      <c r="H43" s="3" t="str">
        <f t="shared" si="1"/>
        <v>May</v>
      </c>
      <c r="I43" s="8">
        <f t="shared" si="2"/>
        <v>5</v>
      </c>
      <c r="J43" s="4">
        <f t="shared" si="3"/>
        <v>44682</v>
      </c>
      <c r="K43" s="3" t="str">
        <f t="shared" si="4"/>
        <v>2022-May</v>
      </c>
      <c r="L43" s="8">
        <f t="shared" si="5"/>
        <v>1938.8200000000002</v>
      </c>
      <c r="M43" s="8">
        <f t="shared" si="6"/>
        <v>758.4789545454546</v>
      </c>
      <c r="N43" s="6">
        <f t="shared" si="7"/>
        <v>2.5561948533719128</v>
      </c>
      <c r="O43" s="8">
        <f t="shared" si="8"/>
        <v>972.89</v>
      </c>
      <c r="P43" s="6">
        <f t="shared" si="9"/>
        <v>0.99284605659427083</v>
      </c>
      <c r="Q43" s="3" t="str">
        <f t="shared" si="10"/>
        <v>Growing</v>
      </c>
      <c r="R43" s="3">
        <f>IF(COUNTIFS($C$2:C43,C43,$J$2:J43,J43)=1,1,0)</f>
        <v>1</v>
      </c>
    </row>
    <row r="44" spans="1:18">
      <c r="A44" s="1">
        <v>44671</v>
      </c>
      <c r="B44" t="s">
        <v>21</v>
      </c>
      <c r="C44" t="s">
        <v>7</v>
      </c>
      <c r="D44">
        <v>7</v>
      </c>
      <c r="E44">
        <v>152.22999999999999</v>
      </c>
      <c r="F44" t="s">
        <v>16</v>
      </c>
      <c r="G44">
        <f t="shared" si="0"/>
        <v>2022</v>
      </c>
      <c r="H44" s="3" t="str">
        <f t="shared" si="1"/>
        <v>Apr</v>
      </c>
      <c r="I44" s="8">
        <f t="shared" si="2"/>
        <v>4</v>
      </c>
      <c r="J44" s="4">
        <f t="shared" si="3"/>
        <v>44652</v>
      </c>
      <c r="K44" s="3" t="str">
        <f t="shared" si="4"/>
        <v>2022-Apr</v>
      </c>
      <c r="L44" s="8">
        <f t="shared" si="5"/>
        <v>574.2399999999999</v>
      </c>
      <c r="M44" s="8">
        <f t="shared" si="6"/>
        <v>1206.8262499999996</v>
      </c>
      <c r="N44" s="6">
        <f t="shared" si="7"/>
        <v>0.47582657404079509</v>
      </c>
      <c r="O44" s="8">
        <f t="shared" si="8"/>
        <v>1795.9</v>
      </c>
      <c r="P44" s="6">
        <f t="shared" si="9"/>
        <v>-0.68024945709672047</v>
      </c>
      <c r="Q44" s="3" t="str">
        <f t="shared" si="10"/>
        <v>Degrowing</v>
      </c>
      <c r="R44" s="3">
        <f>IF(COUNTIFS($C$2:C44,C44,$J$2:J44,J44)=1,1,0)</f>
        <v>0</v>
      </c>
    </row>
    <row r="45" spans="1:18">
      <c r="A45" s="1">
        <v>44696</v>
      </c>
      <c r="B45" t="s">
        <v>18</v>
      </c>
      <c r="C45" t="s">
        <v>24</v>
      </c>
      <c r="D45">
        <v>11</v>
      </c>
      <c r="E45">
        <v>197.71</v>
      </c>
      <c r="F45" t="s">
        <v>14</v>
      </c>
      <c r="G45">
        <f t="shared" si="0"/>
        <v>2022</v>
      </c>
      <c r="H45" s="3" t="str">
        <f t="shared" si="1"/>
        <v>May</v>
      </c>
      <c r="I45" s="8">
        <f t="shared" si="2"/>
        <v>5</v>
      </c>
      <c r="J45" s="4">
        <f t="shared" si="3"/>
        <v>44682</v>
      </c>
      <c r="K45" s="3" t="str">
        <f t="shared" si="4"/>
        <v>2022-May</v>
      </c>
      <c r="L45" s="8">
        <f t="shared" si="5"/>
        <v>791.69999999999993</v>
      </c>
      <c r="M45" s="8">
        <f t="shared" si="6"/>
        <v>1094.9664444444443</v>
      </c>
      <c r="N45" s="6">
        <f t="shared" si="7"/>
        <v>0.72303585558887751</v>
      </c>
      <c r="O45" s="8">
        <f t="shared" si="8"/>
        <v>865.70999999999992</v>
      </c>
      <c r="P45" s="6">
        <f t="shared" si="9"/>
        <v>-8.5490522230308064E-2</v>
      </c>
      <c r="Q45" s="3" t="str">
        <f t="shared" si="10"/>
        <v>Degrowing</v>
      </c>
      <c r="R45" s="3">
        <f>IF(COUNTIFS($C$2:C45,C45,$J$2:J45,J45)=1,1,0)</f>
        <v>1</v>
      </c>
    </row>
    <row r="46" spans="1:18">
      <c r="A46" s="1">
        <v>44568</v>
      </c>
      <c r="B46" t="s">
        <v>21</v>
      </c>
      <c r="C46" t="s">
        <v>7</v>
      </c>
      <c r="D46">
        <v>10</v>
      </c>
      <c r="E46">
        <v>161.56</v>
      </c>
      <c r="F46" t="s">
        <v>16</v>
      </c>
      <c r="G46">
        <f t="shared" si="0"/>
        <v>2022</v>
      </c>
      <c r="H46" s="3" t="str">
        <f t="shared" si="1"/>
        <v>Jan</v>
      </c>
      <c r="I46" s="8">
        <f t="shared" si="2"/>
        <v>1</v>
      </c>
      <c r="J46" s="4">
        <f t="shared" si="3"/>
        <v>44562</v>
      </c>
      <c r="K46" s="3" t="str">
        <f t="shared" si="4"/>
        <v>2022-Jan</v>
      </c>
      <c r="L46" s="8">
        <f t="shared" si="5"/>
        <v>656.7700000000001</v>
      </c>
      <c r="M46" s="8">
        <f t="shared" si="6"/>
        <v>1005.6885416666664</v>
      </c>
      <c r="N46" s="6">
        <f t="shared" si="7"/>
        <v>0.65305506902919974</v>
      </c>
      <c r="O46" s="8">
        <f t="shared" si="8"/>
        <v>0</v>
      </c>
      <c r="P46" s="6">
        <f t="shared" si="9"/>
        <v>0</v>
      </c>
      <c r="Q46" s="3" t="str">
        <f t="shared" si="10"/>
        <v>No Growth</v>
      </c>
      <c r="R46" s="3">
        <f>IF(COUNTIFS($C$2:C46,C46,$J$2:J46,J46)=1,1,0)</f>
        <v>1</v>
      </c>
    </row>
    <row r="47" spans="1:18">
      <c r="A47" s="1">
        <v>44710</v>
      </c>
      <c r="B47" t="s">
        <v>9</v>
      </c>
      <c r="C47" t="s">
        <v>19</v>
      </c>
      <c r="D47">
        <v>16</v>
      </c>
      <c r="E47">
        <v>339.11</v>
      </c>
      <c r="F47" t="s">
        <v>14</v>
      </c>
      <c r="G47">
        <f t="shared" si="0"/>
        <v>2022</v>
      </c>
      <c r="H47" s="3" t="str">
        <f t="shared" si="1"/>
        <v>May</v>
      </c>
      <c r="I47" s="8">
        <f t="shared" si="2"/>
        <v>5</v>
      </c>
      <c r="J47" s="4">
        <f t="shared" si="3"/>
        <v>44682</v>
      </c>
      <c r="K47" s="3" t="str">
        <f t="shared" si="4"/>
        <v>2022-May</v>
      </c>
      <c r="L47" s="8">
        <f t="shared" si="5"/>
        <v>1584.09</v>
      </c>
      <c r="M47" s="8">
        <f t="shared" si="6"/>
        <v>709.47177777777802</v>
      </c>
      <c r="N47" s="6">
        <f t="shared" si="7"/>
        <v>2.2327738038597094</v>
      </c>
      <c r="O47" s="8">
        <f t="shared" si="8"/>
        <v>377.24</v>
      </c>
      <c r="P47" s="6">
        <f t="shared" si="9"/>
        <v>3.1991570353090868</v>
      </c>
      <c r="Q47" s="3" t="str">
        <f t="shared" si="10"/>
        <v>Growing</v>
      </c>
      <c r="R47" s="3">
        <f>IF(COUNTIFS($C$2:C47,C47,$J$2:J47,J47)=1,1,0)</f>
        <v>0</v>
      </c>
    </row>
    <row r="48" spans="1:18">
      <c r="A48" s="1">
        <v>44630</v>
      </c>
      <c r="B48" t="s">
        <v>9</v>
      </c>
      <c r="C48" t="s">
        <v>20</v>
      </c>
      <c r="D48">
        <v>1</v>
      </c>
      <c r="E48">
        <v>11.64</v>
      </c>
      <c r="F48" t="s">
        <v>14</v>
      </c>
      <c r="G48">
        <f t="shared" si="0"/>
        <v>2022</v>
      </c>
      <c r="H48" s="3" t="str">
        <f t="shared" si="1"/>
        <v>Mar</v>
      </c>
      <c r="I48" s="8">
        <f t="shared" si="2"/>
        <v>3</v>
      </c>
      <c r="J48" s="4">
        <f t="shared" si="3"/>
        <v>44621</v>
      </c>
      <c r="K48" s="3" t="str">
        <f t="shared" si="4"/>
        <v>2022-Mar</v>
      </c>
      <c r="L48" s="8">
        <f t="shared" si="5"/>
        <v>690.2</v>
      </c>
      <c r="M48" s="8">
        <f t="shared" si="6"/>
        <v>1945.9349999999999</v>
      </c>
      <c r="N48" s="6">
        <f t="shared" si="7"/>
        <v>0.35468810623170871</v>
      </c>
      <c r="O48" s="8">
        <f t="shared" si="8"/>
        <v>1484.3899999999999</v>
      </c>
      <c r="P48" s="6">
        <f t="shared" si="9"/>
        <v>-0.53502785656060736</v>
      </c>
      <c r="Q48" s="3" t="str">
        <f t="shared" si="10"/>
        <v>Degrowing</v>
      </c>
      <c r="R48" s="3">
        <f>IF(COUNTIFS($C$2:C48,C48,$J$2:J48,J48)=1,1,0)</f>
        <v>1</v>
      </c>
    </row>
    <row r="49" spans="1:18">
      <c r="A49" s="1">
        <v>44690</v>
      </c>
      <c r="B49" t="s">
        <v>9</v>
      </c>
      <c r="C49" t="s">
        <v>19</v>
      </c>
      <c r="D49">
        <v>3</v>
      </c>
      <c r="E49">
        <v>36.54</v>
      </c>
      <c r="F49" t="s">
        <v>8</v>
      </c>
      <c r="G49">
        <f t="shared" si="0"/>
        <v>2022</v>
      </c>
      <c r="H49" s="3" t="str">
        <f t="shared" si="1"/>
        <v>May</v>
      </c>
      <c r="I49" s="8">
        <f t="shared" si="2"/>
        <v>5</v>
      </c>
      <c r="J49" s="4">
        <f t="shared" si="3"/>
        <v>44682</v>
      </c>
      <c r="K49" s="3" t="str">
        <f t="shared" si="4"/>
        <v>2022-May</v>
      </c>
      <c r="L49" s="8">
        <f t="shared" si="5"/>
        <v>1584.09</v>
      </c>
      <c r="M49" s="8">
        <f t="shared" si="6"/>
        <v>709.47177777777802</v>
      </c>
      <c r="N49" s="6">
        <f t="shared" si="7"/>
        <v>2.2327738038597094</v>
      </c>
      <c r="O49" s="8">
        <f t="shared" si="8"/>
        <v>377.24</v>
      </c>
      <c r="P49" s="6">
        <f t="shared" si="9"/>
        <v>3.1991570353090868</v>
      </c>
      <c r="Q49" s="3" t="str">
        <f t="shared" si="10"/>
        <v>Growing</v>
      </c>
      <c r="R49" s="3">
        <f>IF(COUNTIFS($C$2:C49,C49,$J$2:J49,J49)=1,1,0)</f>
        <v>0</v>
      </c>
    </row>
    <row r="50" spans="1:18">
      <c r="A50" s="1">
        <v>44753</v>
      </c>
      <c r="B50" t="s">
        <v>12</v>
      </c>
      <c r="C50" t="s">
        <v>20</v>
      </c>
      <c r="D50">
        <v>16</v>
      </c>
      <c r="E50">
        <v>163.57</v>
      </c>
      <c r="F50" t="s">
        <v>16</v>
      </c>
      <c r="G50">
        <f t="shared" si="0"/>
        <v>2022</v>
      </c>
      <c r="H50" s="3" t="str">
        <f t="shared" si="1"/>
        <v>Jul</v>
      </c>
      <c r="I50" s="8">
        <f t="shared" si="2"/>
        <v>7</v>
      </c>
      <c r="J50" s="4">
        <f t="shared" si="3"/>
        <v>44743</v>
      </c>
      <c r="K50" s="3" t="str">
        <f t="shared" si="4"/>
        <v>2022-Jul</v>
      </c>
      <c r="L50" s="8">
        <f t="shared" si="5"/>
        <v>1056.4100000000001</v>
      </c>
      <c r="M50" s="8">
        <f t="shared" si="6"/>
        <v>1945.9349999999999</v>
      </c>
      <c r="N50" s="6">
        <f t="shared" si="7"/>
        <v>0.54288041481344451</v>
      </c>
      <c r="O50" s="8">
        <f t="shared" si="8"/>
        <v>46.75</v>
      </c>
      <c r="P50" s="6">
        <f t="shared" si="9"/>
        <v>21.597005347593583</v>
      </c>
      <c r="Q50" s="3" t="str">
        <f t="shared" si="10"/>
        <v>Growing</v>
      </c>
      <c r="R50" s="3">
        <f>IF(COUNTIFS($C$2:C50,C50,$J$2:J50,J50)=1,1,0)</f>
        <v>0</v>
      </c>
    </row>
    <row r="51" spans="1:18">
      <c r="A51" s="1">
        <v>44662</v>
      </c>
      <c r="B51" t="s">
        <v>12</v>
      </c>
      <c r="C51" t="s">
        <v>19</v>
      </c>
      <c r="D51">
        <v>11</v>
      </c>
      <c r="E51">
        <v>221.08</v>
      </c>
      <c r="F51" t="s">
        <v>22</v>
      </c>
      <c r="G51">
        <f t="shared" si="0"/>
        <v>2022</v>
      </c>
      <c r="H51" s="3" t="str">
        <f t="shared" si="1"/>
        <v>Apr</v>
      </c>
      <c r="I51" s="8">
        <f t="shared" si="2"/>
        <v>4</v>
      </c>
      <c r="J51" s="4">
        <f t="shared" si="3"/>
        <v>44652</v>
      </c>
      <c r="K51" s="3" t="str">
        <f t="shared" si="4"/>
        <v>2022-Apr</v>
      </c>
      <c r="L51" s="8">
        <f t="shared" si="5"/>
        <v>377.24</v>
      </c>
      <c r="M51" s="8">
        <f t="shared" si="6"/>
        <v>2364.905925925927</v>
      </c>
      <c r="N51" s="6">
        <f t="shared" si="7"/>
        <v>0.15951585890347836</v>
      </c>
      <c r="O51" s="8">
        <f t="shared" si="8"/>
        <v>1095.8999999999999</v>
      </c>
      <c r="P51" s="6">
        <f t="shared" si="9"/>
        <v>-0.65577151199926997</v>
      </c>
      <c r="Q51" s="3" t="str">
        <f t="shared" si="10"/>
        <v>Degrowing</v>
      </c>
      <c r="R51" s="3">
        <f>IF(COUNTIFS($C$2:C51,C51,$J$2:J51,J51)=1,1,0)</f>
        <v>1</v>
      </c>
    </row>
    <row r="52" spans="1:18">
      <c r="A52" s="1">
        <v>44563</v>
      </c>
      <c r="B52" t="s">
        <v>15</v>
      </c>
      <c r="C52" t="s">
        <v>10</v>
      </c>
      <c r="D52">
        <v>14</v>
      </c>
      <c r="E52">
        <v>201.96</v>
      </c>
      <c r="F52" t="s">
        <v>16</v>
      </c>
      <c r="G52">
        <f t="shared" si="0"/>
        <v>2022</v>
      </c>
      <c r="H52" s="3" t="str">
        <f t="shared" si="1"/>
        <v>Jan</v>
      </c>
      <c r="I52" s="8">
        <f t="shared" si="2"/>
        <v>1</v>
      </c>
      <c r="J52" s="4">
        <f t="shared" si="3"/>
        <v>44562</v>
      </c>
      <c r="K52" s="3" t="str">
        <f t="shared" si="4"/>
        <v>2022-Jan</v>
      </c>
      <c r="L52" s="8">
        <f t="shared" si="5"/>
        <v>491.53</v>
      </c>
      <c r="M52" s="8">
        <f t="shared" si="6"/>
        <v>4206.5988461538454</v>
      </c>
      <c r="N52" s="6">
        <f t="shared" si="7"/>
        <v>0.11684736719057796</v>
      </c>
      <c r="O52" s="8">
        <f t="shared" si="8"/>
        <v>0</v>
      </c>
      <c r="P52" s="6">
        <f t="shared" si="9"/>
        <v>0</v>
      </c>
      <c r="Q52" s="3" t="str">
        <f t="shared" si="10"/>
        <v>No Growth</v>
      </c>
      <c r="R52" s="3">
        <f>IF(COUNTIFS($C$2:C52,C52,$J$2:J52,J52)=1,1,0)</f>
        <v>1</v>
      </c>
    </row>
    <row r="53" spans="1:18">
      <c r="A53" s="1">
        <v>44734</v>
      </c>
      <c r="B53" t="s">
        <v>12</v>
      </c>
      <c r="C53" t="s">
        <v>23</v>
      </c>
      <c r="D53">
        <v>7</v>
      </c>
      <c r="E53">
        <v>134.24</v>
      </c>
      <c r="F53" t="s">
        <v>14</v>
      </c>
      <c r="G53">
        <f t="shared" si="0"/>
        <v>2022</v>
      </c>
      <c r="H53" s="3" t="str">
        <f t="shared" si="1"/>
        <v>Jun</v>
      </c>
      <c r="I53" s="8">
        <f t="shared" si="2"/>
        <v>6</v>
      </c>
      <c r="J53" s="4">
        <f t="shared" si="3"/>
        <v>44713</v>
      </c>
      <c r="K53" s="3" t="str">
        <f t="shared" si="4"/>
        <v>2022-Jun</v>
      </c>
      <c r="L53" s="8">
        <f t="shared" si="5"/>
        <v>2252.73</v>
      </c>
      <c r="M53" s="8">
        <f t="shared" si="6"/>
        <v>765.26985123966961</v>
      </c>
      <c r="N53" s="6">
        <f t="shared" si="7"/>
        <v>2.9437067151551526</v>
      </c>
      <c r="O53" s="8">
        <f t="shared" si="8"/>
        <v>185.17000000000002</v>
      </c>
      <c r="P53" s="6">
        <f t="shared" si="9"/>
        <v>11.165739590646432</v>
      </c>
      <c r="Q53" s="3" t="str">
        <f t="shared" si="10"/>
        <v>Growing</v>
      </c>
      <c r="R53" s="3">
        <f>IF(COUNTIFS($C$2:C53,C53,$J$2:J53,J53)=1,1,0)</f>
        <v>0</v>
      </c>
    </row>
    <row r="54" spans="1:18">
      <c r="A54" s="1">
        <v>44783</v>
      </c>
      <c r="B54" t="s">
        <v>21</v>
      </c>
      <c r="C54" t="s">
        <v>20</v>
      </c>
      <c r="D54">
        <v>8</v>
      </c>
      <c r="E54">
        <v>85.5</v>
      </c>
      <c r="F54" t="s">
        <v>11</v>
      </c>
      <c r="G54">
        <f t="shared" si="0"/>
        <v>2022</v>
      </c>
      <c r="H54" s="3" t="str">
        <f t="shared" si="1"/>
        <v>Aug</v>
      </c>
      <c r="I54" s="8">
        <f t="shared" si="2"/>
        <v>8</v>
      </c>
      <c r="J54" s="4">
        <f t="shared" si="3"/>
        <v>44774</v>
      </c>
      <c r="K54" s="3" t="str">
        <f t="shared" si="4"/>
        <v>2022-Aug</v>
      </c>
      <c r="L54" s="8">
        <f t="shared" si="5"/>
        <v>507.65</v>
      </c>
      <c r="M54" s="8">
        <f t="shared" si="6"/>
        <v>1945.9349999999999</v>
      </c>
      <c r="N54" s="6">
        <f t="shared" si="7"/>
        <v>0.26087716187847998</v>
      </c>
      <c r="O54" s="8">
        <f t="shared" si="8"/>
        <v>1056.4100000000001</v>
      </c>
      <c r="P54" s="6">
        <f t="shared" si="9"/>
        <v>-0.51945740763529313</v>
      </c>
      <c r="Q54" s="3" t="str">
        <f t="shared" si="10"/>
        <v>Degrowing</v>
      </c>
      <c r="R54" s="3">
        <f>IF(COUNTIFS($C$2:C54,C54,$J$2:J54,J54)=1,1,0)</f>
        <v>0</v>
      </c>
    </row>
    <row r="55" spans="1:18">
      <c r="A55" s="1">
        <v>44563</v>
      </c>
      <c r="B55" t="s">
        <v>6</v>
      </c>
      <c r="C55" t="s">
        <v>24</v>
      </c>
      <c r="D55">
        <v>3</v>
      </c>
      <c r="E55">
        <v>42.45</v>
      </c>
      <c r="F55" t="s">
        <v>22</v>
      </c>
      <c r="G55">
        <f t="shared" si="0"/>
        <v>2022</v>
      </c>
      <c r="H55" s="3" t="str">
        <f t="shared" si="1"/>
        <v>Jan</v>
      </c>
      <c r="I55" s="8">
        <f t="shared" si="2"/>
        <v>1</v>
      </c>
      <c r="J55" s="4">
        <f t="shared" si="3"/>
        <v>44562</v>
      </c>
      <c r="K55" s="3" t="str">
        <f t="shared" si="4"/>
        <v>2022-Jan</v>
      </c>
      <c r="L55" s="8">
        <f t="shared" si="5"/>
        <v>1214.3899999999999</v>
      </c>
      <c r="M55" s="8">
        <f t="shared" si="6"/>
        <v>821.22483333333321</v>
      </c>
      <c r="N55" s="6">
        <f t="shared" si="7"/>
        <v>1.4787546000902312</v>
      </c>
      <c r="O55" s="8">
        <f t="shared" si="8"/>
        <v>0</v>
      </c>
      <c r="P55" s="6">
        <f t="shared" si="9"/>
        <v>0</v>
      </c>
      <c r="Q55" s="3" t="str">
        <f t="shared" si="10"/>
        <v>No Growth</v>
      </c>
      <c r="R55" s="3">
        <f>IF(COUNTIFS($C$2:C55,C55,$J$2:J55,J55)=1,1,0)</f>
        <v>1</v>
      </c>
    </row>
    <row r="56" spans="1:18">
      <c r="A56" s="1">
        <v>44745</v>
      </c>
      <c r="B56" t="s">
        <v>18</v>
      </c>
      <c r="C56" t="s">
        <v>24</v>
      </c>
      <c r="D56">
        <v>4</v>
      </c>
      <c r="E56">
        <v>43.61</v>
      </c>
      <c r="F56" t="s">
        <v>14</v>
      </c>
      <c r="G56">
        <f t="shared" si="0"/>
        <v>2022</v>
      </c>
      <c r="H56" s="3" t="str">
        <f t="shared" si="1"/>
        <v>Jul</v>
      </c>
      <c r="I56" s="8">
        <f t="shared" si="2"/>
        <v>7</v>
      </c>
      <c r="J56" s="4">
        <f t="shared" si="3"/>
        <v>44743</v>
      </c>
      <c r="K56" s="3" t="str">
        <f t="shared" si="4"/>
        <v>2022-Jul</v>
      </c>
      <c r="L56" s="8">
        <f t="shared" si="5"/>
        <v>874.87</v>
      </c>
      <c r="M56" s="8">
        <f t="shared" si="6"/>
        <v>938.54266666666649</v>
      </c>
      <c r="N56" s="6">
        <f t="shared" si="7"/>
        <v>0.9321579413189528</v>
      </c>
      <c r="O56" s="8">
        <f t="shared" si="8"/>
        <v>704.09</v>
      </c>
      <c r="P56" s="6">
        <f t="shared" si="9"/>
        <v>0.24255421892087653</v>
      </c>
      <c r="Q56" s="3" t="str">
        <f t="shared" si="10"/>
        <v>Growing</v>
      </c>
      <c r="R56" s="3">
        <f>IF(COUNTIFS($C$2:C56,C56,$J$2:J56,J56)=1,1,0)</f>
        <v>0</v>
      </c>
    </row>
    <row r="57" spans="1:18">
      <c r="A57" s="1">
        <v>44641</v>
      </c>
      <c r="B57" t="s">
        <v>15</v>
      </c>
      <c r="C57" t="s">
        <v>23</v>
      </c>
      <c r="D57">
        <v>7</v>
      </c>
      <c r="E57">
        <v>134.53</v>
      </c>
      <c r="F57" t="s">
        <v>14</v>
      </c>
      <c r="G57">
        <f t="shared" si="0"/>
        <v>2022</v>
      </c>
      <c r="H57" s="3" t="str">
        <f t="shared" si="1"/>
        <v>Mar</v>
      </c>
      <c r="I57" s="8">
        <f t="shared" si="2"/>
        <v>3</v>
      </c>
      <c r="J57" s="4">
        <f t="shared" si="3"/>
        <v>44621</v>
      </c>
      <c r="K57" s="3" t="str">
        <f t="shared" si="4"/>
        <v>2022-Mar</v>
      </c>
      <c r="L57" s="8">
        <f t="shared" si="5"/>
        <v>1922.5800000000002</v>
      </c>
      <c r="M57" s="8">
        <f t="shared" si="6"/>
        <v>841.79683636363654</v>
      </c>
      <c r="N57" s="6">
        <f t="shared" si="7"/>
        <v>2.2839002440364253</v>
      </c>
      <c r="O57" s="8">
        <f t="shared" si="8"/>
        <v>1770.3600000000001</v>
      </c>
      <c r="P57" s="6">
        <f t="shared" si="9"/>
        <v>8.5982512031451241E-2</v>
      </c>
      <c r="Q57" s="3" t="str">
        <f t="shared" si="10"/>
        <v>Growing</v>
      </c>
      <c r="R57" s="3">
        <f>IF(COUNTIFS($C$2:C57,C57,$J$2:J57,J57)=1,1,0)</f>
        <v>0</v>
      </c>
    </row>
    <row r="58" spans="1:18">
      <c r="A58" s="1">
        <v>44667</v>
      </c>
      <c r="B58" t="s">
        <v>6</v>
      </c>
      <c r="C58" t="s">
        <v>7</v>
      </c>
      <c r="D58">
        <v>7</v>
      </c>
      <c r="E58">
        <v>141.33000000000001</v>
      </c>
      <c r="F58" t="s">
        <v>16</v>
      </c>
      <c r="G58">
        <f t="shared" si="0"/>
        <v>2022</v>
      </c>
      <c r="H58" s="3" t="str">
        <f t="shared" si="1"/>
        <v>Apr</v>
      </c>
      <c r="I58" s="8">
        <f t="shared" si="2"/>
        <v>4</v>
      </c>
      <c r="J58" s="4">
        <f t="shared" si="3"/>
        <v>44652</v>
      </c>
      <c r="K58" s="3" t="str">
        <f t="shared" si="4"/>
        <v>2022-Apr</v>
      </c>
      <c r="L58" s="8">
        <f t="shared" si="5"/>
        <v>574.2399999999999</v>
      </c>
      <c r="M58" s="8">
        <f t="shared" si="6"/>
        <v>1206.8262499999996</v>
      </c>
      <c r="N58" s="6">
        <f t="shared" si="7"/>
        <v>0.47582657404079509</v>
      </c>
      <c r="O58" s="8">
        <f t="shared" si="8"/>
        <v>1795.9</v>
      </c>
      <c r="P58" s="6">
        <f t="shared" si="9"/>
        <v>-0.68024945709672047</v>
      </c>
      <c r="Q58" s="3" t="str">
        <f t="shared" si="10"/>
        <v>Degrowing</v>
      </c>
      <c r="R58" s="3">
        <f>IF(COUNTIFS($C$2:C58,C58,$J$2:J58,J58)=1,1,0)</f>
        <v>0</v>
      </c>
    </row>
    <row r="59" spans="1:18">
      <c r="A59" s="1">
        <v>44799</v>
      </c>
      <c r="B59" t="s">
        <v>12</v>
      </c>
      <c r="C59" t="s">
        <v>10</v>
      </c>
      <c r="D59">
        <v>18</v>
      </c>
      <c r="E59">
        <v>336.53</v>
      </c>
      <c r="F59" t="s">
        <v>14</v>
      </c>
      <c r="G59">
        <f t="shared" si="0"/>
        <v>2022</v>
      </c>
      <c r="H59" s="3" t="str">
        <f t="shared" si="1"/>
        <v>Aug</v>
      </c>
      <c r="I59" s="8">
        <f t="shared" si="2"/>
        <v>8</v>
      </c>
      <c r="J59" s="4">
        <f t="shared" si="3"/>
        <v>44774</v>
      </c>
      <c r="K59" s="3" t="str">
        <f t="shared" si="4"/>
        <v>2022-Aug</v>
      </c>
      <c r="L59" s="8">
        <f t="shared" si="5"/>
        <v>1721.52</v>
      </c>
      <c r="M59" s="8">
        <f t="shared" si="6"/>
        <v>841.31976923076911</v>
      </c>
      <c r="N59" s="6">
        <f t="shared" si="7"/>
        <v>2.046213654974506</v>
      </c>
      <c r="O59" s="8">
        <f t="shared" si="8"/>
        <v>1166.76</v>
      </c>
      <c r="P59" s="6">
        <f t="shared" si="9"/>
        <v>0.47547053378586857</v>
      </c>
      <c r="Q59" s="3" t="str">
        <f t="shared" si="10"/>
        <v>Growing</v>
      </c>
      <c r="R59" s="3">
        <f>IF(COUNTIFS($C$2:C59,C59,$J$2:J59,J59)=1,1,0)</f>
        <v>1</v>
      </c>
    </row>
    <row r="60" spans="1:18">
      <c r="A60" s="1">
        <v>44673</v>
      </c>
      <c r="B60" t="s">
        <v>18</v>
      </c>
      <c r="C60" t="s">
        <v>23</v>
      </c>
      <c r="D60">
        <v>20</v>
      </c>
      <c r="E60">
        <v>470.78</v>
      </c>
      <c r="F60" t="s">
        <v>8</v>
      </c>
      <c r="G60">
        <f t="shared" si="0"/>
        <v>2022</v>
      </c>
      <c r="H60" s="3" t="str">
        <f t="shared" si="1"/>
        <v>Apr</v>
      </c>
      <c r="I60" s="8">
        <f t="shared" si="2"/>
        <v>4</v>
      </c>
      <c r="J60" s="4">
        <f t="shared" si="3"/>
        <v>44652</v>
      </c>
      <c r="K60" s="3" t="str">
        <f t="shared" si="4"/>
        <v>2022-Apr</v>
      </c>
      <c r="L60" s="8">
        <f t="shared" si="5"/>
        <v>1623.23</v>
      </c>
      <c r="M60" s="8">
        <f t="shared" si="6"/>
        <v>1402.9947272727277</v>
      </c>
      <c r="N60" s="6">
        <f t="shared" si="7"/>
        <v>1.156975125028008</v>
      </c>
      <c r="O60" s="8">
        <f t="shared" si="8"/>
        <v>1922.5800000000002</v>
      </c>
      <c r="P60" s="6">
        <f t="shared" si="9"/>
        <v>-0.15570223345712539</v>
      </c>
      <c r="Q60" s="3" t="str">
        <f t="shared" si="10"/>
        <v>Degrowing</v>
      </c>
      <c r="R60" s="3">
        <f>IF(COUNTIFS($C$2:C60,C60,$J$2:J60,J60)=1,1,0)</f>
        <v>0</v>
      </c>
    </row>
    <row r="61" spans="1:18">
      <c r="A61" s="1">
        <v>44637</v>
      </c>
      <c r="B61" t="s">
        <v>18</v>
      </c>
      <c r="C61" t="s">
        <v>24</v>
      </c>
      <c r="D61">
        <v>14</v>
      </c>
      <c r="E61">
        <v>163.03</v>
      </c>
      <c r="F61" t="s">
        <v>14</v>
      </c>
      <c r="G61">
        <f t="shared" si="0"/>
        <v>2022</v>
      </c>
      <c r="H61" s="3" t="str">
        <f t="shared" si="1"/>
        <v>Mar</v>
      </c>
      <c r="I61" s="8">
        <f t="shared" si="2"/>
        <v>3</v>
      </c>
      <c r="J61" s="4">
        <f t="shared" si="3"/>
        <v>44621</v>
      </c>
      <c r="K61" s="3" t="str">
        <f t="shared" si="4"/>
        <v>2022-Mar</v>
      </c>
      <c r="L61" s="8">
        <f t="shared" si="5"/>
        <v>760.68999999999994</v>
      </c>
      <c r="M61" s="8">
        <f t="shared" si="6"/>
        <v>1313.9597333333331</v>
      </c>
      <c r="N61" s="6">
        <f t="shared" si="7"/>
        <v>0.57892946085207286</v>
      </c>
      <c r="O61" s="8">
        <f t="shared" si="8"/>
        <v>930.81000000000006</v>
      </c>
      <c r="P61" s="6">
        <f t="shared" si="9"/>
        <v>-0.18276554828590164</v>
      </c>
      <c r="Q61" s="3" t="str">
        <f t="shared" si="10"/>
        <v>Degrowing</v>
      </c>
      <c r="R61" s="3">
        <f>IF(COUNTIFS($C$2:C61,C61,$J$2:J61,J61)=1,1,0)</f>
        <v>1</v>
      </c>
    </row>
    <row r="62" spans="1:18">
      <c r="A62" s="1">
        <v>44740</v>
      </c>
      <c r="B62" t="s">
        <v>12</v>
      </c>
      <c r="C62" t="s">
        <v>23</v>
      </c>
      <c r="D62">
        <v>7</v>
      </c>
      <c r="E62">
        <v>88.38</v>
      </c>
      <c r="F62" t="s">
        <v>22</v>
      </c>
      <c r="G62">
        <f t="shared" si="0"/>
        <v>2022</v>
      </c>
      <c r="H62" s="3" t="str">
        <f t="shared" si="1"/>
        <v>Jun</v>
      </c>
      <c r="I62" s="8">
        <f t="shared" si="2"/>
        <v>6</v>
      </c>
      <c r="J62" s="4">
        <f t="shared" si="3"/>
        <v>44713</v>
      </c>
      <c r="K62" s="3" t="str">
        <f t="shared" si="4"/>
        <v>2022-Jun</v>
      </c>
      <c r="L62" s="8">
        <f t="shared" si="5"/>
        <v>2252.73</v>
      </c>
      <c r="M62" s="8">
        <f t="shared" si="6"/>
        <v>765.26985123966961</v>
      </c>
      <c r="N62" s="6">
        <f t="shared" si="7"/>
        <v>2.9437067151551526</v>
      </c>
      <c r="O62" s="8">
        <f t="shared" si="8"/>
        <v>185.17000000000002</v>
      </c>
      <c r="P62" s="6">
        <f t="shared" si="9"/>
        <v>11.165739590646432</v>
      </c>
      <c r="Q62" s="3" t="str">
        <f t="shared" si="10"/>
        <v>Growing</v>
      </c>
      <c r="R62" s="3">
        <f>IF(COUNTIFS($C$2:C62,C62,$J$2:J62,J62)=1,1,0)</f>
        <v>0</v>
      </c>
    </row>
    <row r="63" spans="1:18">
      <c r="A63" s="1">
        <v>44727</v>
      </c>
      <c r="B63" t="s">
        <v>17</v>
      </c>
      <c r="C63" t="s">
        <v>10</v>
      </c>
      <c r="D63">
        <v>11</v>
      </c>
      <c r="E63">
        <v>127.82</v>
      </c>
      <c r="F63" t="s">
        <v>16</v>
      </c>
      <c r="G63">
        <f t="shared" si="0"/>
        <v>2022</v>
      </c>
      <c r="H63" s="3" t="str">
        <f t="shared" si="1"/>
        <v>Jun</v>
      </c>
      <c r="I63" s="8">
        <f t="shared" si="2"/>
        <v>6</v>
      </c>
      <c r="J63" s="4">
        <f t="shared" si="3"/>
        <v>44713</v>
      </c>
      <c r="K63" s="3" t="str">
        <f t="shared" si="4"/>
        <v>2022-Jun</v>
      </c>
      <c r="L63" s="8">
        <f t="shared" si="5"/>
        <v>761.09999999999991</v>
      </c>
      <c r="M63" s="8">
        <f t="shared" si="6"/>
        <v>1402.1996153846153</v>
      </c>
      <c r="N63" s="6">
        <f t="shared" si="7"/>
        <v>0.54279005046741124</v>
      </c>
      <c r="O63" s="8">
        <f t="shared" si="8"/>
        <v>2645.1499999999996</v>
      </c>
      <c r="P63" s="6">
        <f t="shared" si="9"/>
        <v>-0.71226584503714341</v>
      </c>
      <c r="Q63" s="3" t="str">
        <f t="shared" si="10"/>
        <v>Degrowing</v>
      </c>
      <c r="R63" s="3">
        <f>IF(COUNTIFS($C$2:C63,C63,$J$2:J63,J63)=1,1,0)</f>
        <v>0</v>
      </c>
    </row>
    <row r="64" spans="1:18">
      <c r="A64" s="1">
        <v>44681</v>
      </c>
      <c r="B64" t="s">
        <v>17</v>
      </c>
      <c r="C64" t="s">
        <v>19</v>
      </c>
      <c r="D64">
        <v>2</v>
      </c>
      <c r="E64">
        <v>30.78</v>
      </c>
      <c r="F64" t="s">
        <v>11</v>
      </c>
      <c r="G64">
        <f t="shared" si="0"/>
        <v>2022</v>
      </c>
      <c r="H64" s="3" t="str">
        <f t="shared" si="1"/>
        <v>Apr</v>
      </c>
      <c r="I64" s="8">
        <f t="shared" si="2"/>
        <v>4</v>
      </c>
      <c r="J64" s="4">
        <f t="shared" si="3"/>
        <v>44652</v>
      </c>
      <c r="K64" s="3" t="str">
        <f t="shared" si="4"/>
        <v>2022-Apr</v>
      </c>
      <c r="L64" s="8">
        <f t="shared" si="5"/>
        <v>377.24</v>
      </c>
      <c r="M64" s="8">
        <f t="shared" si="6"/>
        <v>2364.905925925927</v>
      </c>
      <c r="N64" s="6">
        <f t="shared" si="7"/>
        <v>0.15951585890347836</v>
      </c>
      <c r="O64" s="8">
        <f t="shared" si="8"/>
        <v>1095.8999999999999</v>
      </c>
      <c r="P64" s="6">
        <f t="shared" si="9"/>
        <v>-0.65577151199926997</v>
      </c>
      <c r="Q64" s="3" t="str">
        <f t="shared" si="10"/>
        <v>Degrowing</v>
      </c>
      <c r="R64" s="3">
        <f>IF(COUNTIFS($C$2:C64,C64,$J$2:J64,J64)=1,1,0)</f>
        <v>0</v>
      </c>
    </row>
    <row r="65" spans="1:18">
      <c r="A65" s="1">
        <v>44576</v>
      </c>
      <c r="B65" t="s">
        <v>18</v>
      </c>
      <c r="C65" t="s">
        <v>24</v>
      </c>
      <c r="D65">
        <v>11</v>
      </c>
      <c r="E65">
        <v>211.91</v>
      </c>
      <c r="F65" t="s">
        <v>16</v>
      </c>
      <c r="G65">
        <f t="shared" si="0"/>
        <v>2022</v>
      </c>
      <c r="H65" s="3" t="str">
        <f t="shared" si="1"/>
        <v>Jan</v>
      </c>
      <c r="I65" s="8">
        <f t="shared" si="2"/>
        <v>1</v>
      </c>
      <c r="J65" s="4">
        <f t="shared" si="3"/>
        <v>44562</v>
      </c>
      <c r="K65" s="3" t="str">
        <f t="shared" si="4"/>
        <v>2022-Jan</v>
      </c>
      <c r="L65" s="8">
        <f t="shared" si="5"/>
        <v>1214.3899999999999</v>
      </c>
      <c r="M65" s="8">
        <f t="shared" si="6"/>
        <v>821.22483333333321</v>
      </c>
      <c r="N65" s="6">
        <f t="shared" si="7"/>
        <v>1.4787546000902312</v>
      </c>
      <c r="O65" s="8">
        <f t="shared" si="8"/>
        <v>0</v>
      </c>
      <c r="P65" s="6">
        <f t="shared" si="9"/>
        <v>0</v>
      </c>
      <c r="Q65" s="3" t="str">
        <f t="shared" si="10"/>
        <v>No Growth</v>
      </c>
      <c r="R65" s="3">
        <f>IF(COUNTIFS($C$2:C65,C65,$J$2:J65,J65)=1,1,0)</f>
        <v>0</v>
      </c>
    </row>
    <row r="66" spans="1:18">
      <c r="A66" s="1">
        <v>44778</v>
      </c>
      <c r="B66" t="s">
        <v>12</v>
      </c>
      <c r="C66" t="s">
        <v>10</v>
      </c>
      <c r="D66">
        <v>2</v>
      </c>
      <c r="E66">
        <v>34.090000000000003</v>
      </c>
      <c r="F66" t="s">
        <v>16</v>
      </c>
      <c r="G66">
        <f t="shared" si="0"/>
        <v>2022</v>
      </c>
      <c r="H66" s="3" t="str">
        <f t="shared" si="1"/>
        <v>Aug</v>
      </c>
      <c r="I66" s="8">
        <f t="shared" si="2"/>
        <v>8</v>
      </c>
      <c r="J66" s="4">
        <f t="shared" si="3"/>
        <v>44774</v>
      </c>
      <c r="K66" s="3" t="str">
        <f t="shared" si="4"/>
        <v>2022-Aug</v>
      </c>
      <c r="L66" s="8">
        <f t="shared" si="5"/>
        <v>1721.52</v>
      </c>
      <c r="M66" s="8">
        <f t="shared" si="6"/>
        <v>841.31976923076911</v>
      </c>
      <c r="N66" s="6">
        <f t="shared" si="7"/>
        <v>2.046213654974506</v>
      </c>
      <c r="O66" s="8">
        <f t="shared" si="8"/>
        <v>1166.76</v>
      </c>
      <c r="P66" s="6">
        <f t="shared" si="9"/>
        <v>0.47547053378586857</v>
      </c>
      <c r="Q66" s="3" t="str">
        <f t="shared" si="10"/>
        <v>Growing</v>
      </c>
      <c r="R66" s="3">
        <f>IF(COUNTIFS($C$2:C66,C66,$J$2:J66,J66)=1,1,0)</f>
        <v>0</v>
      </c>
    </row>
    <row r="67" spans="1:18">
      <c r="A67" s="1">
        <v>44758</v>
      </c>
      <c r="B67" t="s">
        <v>18</v>
      </c>
      <c r="C67" t="s">
        <v>13</v>
      </c>
      <c r="D67">
        <v>9</v>
      </c>
      <c r="E67">
        <v>158.69</v>
      </c>
      <c r="F67" t="s">
        <v>22</v>
      </c>
      <c r="G67">
        <f t="shared" ref="G67:G130" si="11">YEAR(A67)</f>
        <v>2022</v>
      </c>
      <c r="H67" s="3" t="str">
        <f t="shared" ref="H67:H130" si="12">TEXT(A67,"mmm")</f>
        <v>Jul</v>
      </c>
      <c r="I67" s="8">
        <f t="shared" ref="I67:I130" si="13">MONTH(A67)</f>
        <v>7</v>
      </c>
      <c r="J67" s="4">
        <f t="shared" ref="J67:J130" si="14">DATE(YEAR(A67),MONTH(A67),1)</f>
        <v>44743</v>
      </c>
      <c r="K67" s="3" t="str">
        <f t="shared" ref="K67:K130" si="15">TEXT(J67,"yyyy-mmm")</f>
        <v>2022-Jul</v>
      </c>
      <c r="L67" s="8">
        <f t="shared" ref="L67:L130" si="16">SUMIFS($E:$E,$C:$C,$C67,$J:$J,$J67)</f>
        <v>1653.05</v>
      </c>
      <c r="M67" s="8">
        <f t="shared" ref="M67:M130" si="17">AVERAGEIFS($E:$E,$C:$C,$C67)*7/COUNTIFS($C:$C,$C67,$I:$I,$I67)*6</f>
        <v>842.75439393939394</v>
      </c>
      <c r="N67" s="6">
        <f t="shared" ref="N67:N130" si="18">IFERROR(L67/M67,0)</f>
        <v>1.9614848784981569</v>
      </c>
      <c r="O67" s="8">
        <f t="shared" ref="O67:O130" si="19">SUMIFS($E:$E,$C:$C,$C67,$J:$J,EDATE(J67,-1))</f>
        <v>585.20999999999992</v>
      </c>
      <c r="P67" s="6">
        <f t="shared" ref="P67:P130" si="20">IFERROR((L67-O67)/O67,0)</f>
        <v>1.8247124963688253</v>
      </c>
      <c r="Q67" s="3" t="str">
        <f t="shared" ref="Q67:Q130" si="21">IF(P67&gt;0,"Growing",IF(P67&lt;0,"Degrowing","No Growth"))</f>
        <v>Growing</v>
      </c>
      <c r="R67" s="3">
        <f>IF(COUNTIFS($C$2:C67,C67,$J$2:J67,J67)=1,1,0)</f>
        <v>0</v>
      </c>
    </row>
    <row r="68" spans="1:18">
      <c r="A68" s="1">
        <v>44704</v>
      </c>
      <c r="B68" t="s">
        <v>18</v>
      </c>
      <c r="C68" t="s">
        <v>10</v>
      </c>
      <c r="D68">
        <v>15</v>
      </c>
      <c r="E68">
        <v>355.23</v>
      </c>
      <c r="F68" t="s">
        <v>11</v>
      </c>
      <c r="G68">
        <f t="shared" si="11"/>
        <v>2022</v>
      </c>
      <c r="H68" s="3" t="str">
        <f t="shared" si="12"/>
        <v>May</v>
      </c>
      <c r="I68" s="8">
        <f t="shared" si="13"/>
        <v>5</v>
      </c>
      <c r="J68" s="4">
        <f t="shared" si="14"/>
        <v>44682</v>
      </c>
      <c r="K68" s="3" t="str">
        <f t="shared" si="15"/>
        <v>2022-May</v>
      </c>
      <c r="L68" s="8">
        <f t="shared" si="16"/>
        <v>2645.1499999999996</v>
      </c>
      <c r="M68" s="8">
        <f t="shared" si="17"/>
        <v>764.83615384615382</v>
      </c>
      <c r="N68" s="6">
        <f t="shared" si="18"/>
        <v>3.4584531428048435</v>
      </c>
      <c r="O68" s="8">
        <f t="shared" si="19"/>
        <v>2185.4700000000003</v>
      </c>
      <c r="P68" s="6">
        <f t="shared" si="20"/>
        <v>0.21033461909795118</v>
      </c>
      <c r="Q68" s="3" t="str">
        <f t="shared" si="21"/>
        <v>Growing</v>
      </c>
      <c r="R68" s="3">
        <f>IF(COUNTIFS($C$2:C68,C68,$J$2:J68,J68)=1,1,0)</f>
        <v>0</v>
      </c>
    </row>
    <row r="69" spans="1:18">
      <c r="A69" s="1">
        <v>44670</v>
      </c>
      <c r="B69" t="s">
        <v>9</v>
      </c>
      <c r="C69" t="s">
        <v>13</v>
      </c>
      <c r="D69">
        <v>9</v>
      </c>
      <c r="E69">
        <v>202.58</v>
      </c>
      <c r="F69" t="s">
        <v>11</v>
      </c>
      <c r="G69">
        <f t="shared" si="11"/>
        <v>2022</v>
      </c>
      <c r="H69" s="3" t="str">
        <f t="shared" si="12"/>
        <v>Apr</v>
      </c>
      <c r="I69" s="8">
        <f t="shared" si="13"/>
        <v>4</v>
      </c>
      <c r="J69" s="4">
        <f t="shared" si="14"/>
        <v>44652</v>
      </c>
      <c r="K69" s="3" t="str">
        <f t="shared" si="15"/>
        <v>2022-Apr</v>
      </c>
      <c r="L69" s="8">
        <f t="shared" si="16"/>
        <v>972.89</v>
      </c>
      <c r="M69" s="8">
        <f t="shared" si="17"/>
        <v>1516.9579090909092</v>
      </c>
      <c r="N69" s="6">
        <f t="shared" si="18"/>
        <v>0.64134277831283981</v>
      </c>
      <c r="O69" s="8">
        <f t="shared" si="19"/>
        <v>522.87</v>
      </c>
      <c r="P69" s="6">
        <f t="shared" si="20"/>
        <v>0.86067282498517794</v>
      </c>
      <c r="Q69" s="3" t="str">
        <f t="shared" si="21"/>
        <v>Growing</v>
      </c>
      <c r="R69" s="3">
        <f>IF(COUNTIFS($C$2:C69,C69,$J$2:J69,J69)=1,1,0)</f>
        <v>0</v>
      </c>
    </row>
    <row r="70" spans="1:18">
      <c r="A70" s="1">
        <v>44778</v>
      </c>
      <c r="B70" t="s">
        <v>21</v>
      </c>
      <c r="C70" t="s">
        <v>10</v>
      </c>
      <c r="D70">
        <v>10</v>
      </c>
      <c r="E70">
        <v>245.9</v>
      </c>
      <c r="F70" t="s">
        <v>16</v>
      </c>
      <c r="G70">
        <f t="shared" si="11"/>
        <v>2022</v>
      </c>
      <c r="H70" s="3" t="str">
        <f t="shared" si="12"/>
        <v>Aug</v>
      </c>
      <c r="I70" s="8">
        <f t="shared" si="13"/>
        <v>8</v>
      </c>
      <c r="J70" s="4">
        <f t="shared" si="14"/>
        <v>44774</v>
      </c>
      <c r="K70" s="3" t="str">
        <f t="shared" si="15"/>
        <v>2022-Aug</v>
      </c>
      <c r="L70" s="8">
        <f t="shared" si="16"/>
        <v>1721.52</v>
      </c>
      <c r="M70" s="8">
        <f t="shared" si="17"/>
        <v>841.31976923076911</v>
      </c>
      <c r="N70" s="6">
        <f t="shared" si="18"/>
        <v>2.046213654974506</v>
      </c>
      <c r="O70" s="8">
        <f t="shared" si="19"/>
        <v>1166.76</v>
      </c>
      <c r="P70" s="6">
        <f t="shared" si="20"/>
        <v>0.47547053378586857</v>
      </c>
      <c r="Q70" s="3" t="str">
        <f t="shared" si="21"/>
        <v>Growing</v>
      </c>
      <c r="R70" s="3">
        <f>IF(COUNTIFS($C$2:C70,C70,$J$2:J70,J70)=1,1,0)</f>
        <v>0</v>
      </c>
    </row>
    <row r="71" spans="1:18">
      <c r="A71" s="1">
        <v>44804</v>
      </c>
      <c r="B71" t="s">
        <v>18</v>
      </c>
      <c r="C71" t="s">
        <v>13</v>
      </c>
      <c r="D71">
        <v>12</v>
      </c>
      <c r="E71">
        <v>270.74</v>
      </c>
      <c r="F71" t="s">
        <v>8</v>
      </c>
      <c r="G71">
        <f t="shared" si="11"/>
        <v>2022</v>
      </c>
      <c r="H71" s="3" t="str">
        <f t="shared" si="12"/>
        <v>Aug</v>
      </c>
      <c r="I71" s="8">
        <f t="shared" si="13"/>
        <v>8</v>
      </c>
      <c r="J71" s="4">
        <f t="shared" si="14"/>
        <v>44774</v>
      </c>
      <c r="K71" s="3" t="str">
        <f t="shared" si="15"/>
        <v>2022-Aug</v>
      </c>
      <c r="L71" s="8">
        <f t="shared" si="16"/>
        <v>652.12</v>
      </c>
      <c r="M71" s="8">
        <f t="shared" si="17"/>
        <v>1896.1973863636363</v>
      </c>
      <c r="N71" s="6">
        <f t="shared" si="18"/>
        <v>0.34390934440141774</v>
      </c>
      <c r="O71" s="8">
        <f t="shared" si="19"/>
        <v>1653.05</v>
      </c>
      <c r="P71" s="6">
        <f t="shared" si="20"/>
        <v>-0.6055049756510692</v>
      </c>
      <c r="Q71" s="3" t="str">
        <f t="shared" si="21"/>
        <v>Degrowing</v>
      </c>
      <c r="R71" s="3">
        <f>IF(COUNTIFS($C$2:C71,C71,$J$2:J71,J71)=1,1,0)</f>
        <v>1</v>
      </c>
    </row>
    <row r="72" spans="1:18">
      <c r="A72" s="1">
        <v>44796</v>
      </c>
      <c r="B72" t="s">
        <v>17</v>
      </c>
      <c r="C72" t="s">
        <v>13</v>
      </c>
      <c r="D72">
        <v>5</v>
      </c>
      <c r="E72">
        <v>88.84</v>
      </c>
      <c r="F72" t="s">
        <v>22</v>
      </c>
      <c r="G72">
        <f t="shared" si="11"/>
        <v>2022</v>
      </c>
      <c r="H72" s="3" t="str">
        <f t="shared" si="12"/>
        <v>Aug</v>
      </c>
      <c r="I72" s="8">
        <f t="shared" si="13"/>
        <v>8</v>
      </c>
      <c r="J72" s="4">
        <f t="shared" si="14"/>
        <v>44774</v>
      </c>
      <c r="K72" s="3" t="str">
        <f t="shared" si="15"/>
        <v>2022-Aug</v>
      </c>
      <c r="L72" s="8">
        <f t="shared" si="16"/>
        <v>652.12</v>
      </c>
      <c r="M72" s="8">
        <f t="shared" si="17"/>
        <v>1896.1973863636363</v>
      </c>
      <c r="N72" s="6">
        <f t="shared" si="18"/>
        <v>0.34390934440141774</v>
      </c>
      <c r="O72" s="8">
        <f t="shared" si="19"/>
        <v>1653.05</v>
      </c>
      <c r="P72" s="6">
        <f t="shared" si="20"/>
        <v>-0.6055049756510692</v>
      </c>
      <c r="Q72" s="3" t="str">
        <f t="shared" si="21"/>
        <v>Degrowing</v>
      </c>
      <c r="R72" s="3">
        <f>IF(COUNTIFS($C$2:C72,C72,$J$2:J72,J72)=1,1,0)</f>
        <v>0</v>
      </c>
    </row>
    <row r="73" spans="1:18">
      <c r="A73" s="1">
        <v>44627</v>
      </c>
      <c r="B73" t="s">
        <v>12</v>
      </c>
      <c r="C73" t="s">
        <v>23</v>
      </c>
      <c r="D73">
        <v>20</v>
      </c>
      <c r="E73">
        <v>433.81</v>
      </c>
      <c r="F73" t="s">
        <v>16</v>
      </c>
      <c r="G73">
        <f t="shared" si="11"/>
        <v>2022</v>
      </c>
      <c r="H73" s="3" t="str">
        <f t="shared" si="12"/>
        <v>Mar</v>
      </c>
      <c r="I73" s="8">
        <f t="shared" si="13"/>
        <v>3</v>
      </c>
      <c r="J73" s="4">
        <f t="shared" si="14"/>
        <v>44621</v>
      </c>
      <c r="K73" s="3" t="str">
        <f t="shared" si="15"/>
        <v>2022-Mar</v>
      </c>
      <c r="L73" s="8">
        <f t="shared" si="16"/>
        <v>1922.5800000000002</v>
      </c>
      <c r="M73" s="8">
        <f t="shared" si="17"/>
        <v>841.79683636363654</v>
      </c>
      <c r="N73" s="6">
        <f t="shared" si="18"/>
        <v>2.2839002440364253</v>
      </c>
      <c r="O73" s="8">
        <f t="shared" si="19"/>
        <v>1770.3600000000001</v>
      </c>
      <c r="P73" s="6">
        <f t="shared" si="20"/>
        <v>8.5982512031451241E-2</v>
      </c>
      <c r="Q73" s="3" t="str">
        <f t="shared" si="21"/>
        <v>Growing</v>
      </c>
      <c r="R73" s="3">
        <f>IF(COUNTIFS($C$2:C73,C73,$J$2:J73,J73)=1,1,0)</f>
        <v>0</v>
      </c>
    </row>
    <row r="74" spans="1:18">
      <c r="A74" s="1">
        <v>44767</v>
      </c>
      <c r="B74" t="s">
        <v>9</v>
      </c>
      <c r="C74" t="s">
        <v>7</v>
      </c>
      <c r="D74">
        <v>2</v>
      </c>
      <c r="E74">
        <v>29.63</v>
      </c>
      <c r="F74" t="s">
        <v>8</v>
      </c>
      <c r="G74">
        <f t="shared" si="11"/>
        <v>2022</v>
      </c>
      <c r="H74" s="3" t="str">
        <f t="shared" si="12"/>
        <v>Jul</v>
      </c>
      <c r="I74" s="8">
        <f t="shared" si="13"/>
        <v>7</v>
      </c>
      <c r="J74" s="4">
        <f t="shared" si="14"/>
        <v>44743</v>
      </c>
      <c r="K74" s="3" t="str">
        <f t="shared" si="15"/>
        <v>2022-Jul</v>
      </c>
      <c r="L74" s="8">
        <f t="shared" si="16"/>
        <v>537.31000000000006</v>
      </c>
      <c r="M74" s="8">
        <f t="shared" si="17"/>
        <v>862.01874999999984</v>
      </c>
      <c r="N74" s="6">
        <f t="shared" si="18"/>
        <v>0.62331590815165006</v>
      </c>
      <c r="O74" s="8">
        <f t="shared" si="19"/>
        <v>1013.7</v>
      </c>
      <c r="P74" s="6">
        <f t="shared" si="20"/>
        <v>-0.46995166222748347</v>
      </c>
      <c r="Q74" s="3" t="str">
        <f t="shared" si="21"/>
        <v>Degrowing</v>
      </c>
      <c r="R74" s="3">
        <f>IF(COUNTIFS($C$2:C74,C74,$J$2:J74,J74)=1,1,0)</f>
        <v>1</v>
      </c>
    </row>
    <row r="75" spans="1:18">
      <c r="A75" s="1">
        <v>44601</v>
      </c>
      <c r="B75" t="s">
        <v>17</v>
      </c>
      <c r="C75" t="s">
        <v>23</v>
      </c>
      <c r="D75">
        <v>15</v>
      </c>
      <c r="E75">
        <v>334.05</v>
      </c>
      <c r="F75" t="s">
        <v>11</v>
      </c>
      <c r="G75">
        <f t="shared" si="11"/>
        <v>2022</v>
      </c>
      <c r="H75" s="3" t="str">
        <f t="shared" si="12"/>
        <v>Feb</v>
      </c>
      <c r="I75" s="8">
        <f t="shared" si="13"/>
        <v>2</v>
      </c>
      <c r="J75" s="4">
        <f t="shared" si="14"/>
        <v>44593</v>
      </c>
      <c r="K75" s="3" t="str">
        <f t="shared" si="15"/>
        <v>2022-Feb</v>
      </c>
      <c r="L75" s="8">
        <f t="shared" si="16"/>
        <v>1770.3600000000001</v>
      </c>
      <c r="M75" s="8">
        <f t="shared" si="17"/>
        <v>1052.2460454545458</v>
      </c>
      <c r="N75" s="6">
        <f t="shared" si="18"/>
        <v>1.6824582117913742</v>
      </c>
      <c r="O75" s="8">
        <f t="shared" si="19"/>
        <v>241.89999999999998</v>
      </c>
      <c r="P75" s="6">
        <f t="shared" si="20"/>
        <v>6.3185613890037216</v>
      </c>
      <c r="Q75" s="3" t="str">
        <f t="shared" si="21"/>
        <v>Growing</v>
      </c>
      <c r="R75" s="3">
        <f>IF(COUNTIFS($C$2:C75,C75,$J$2:J75,J75)=1,1,0)</f>
        <v>1</v>
      </c>
    </row>
    <row r="76" spans="1:18">
      <c r="A76" s="1">
        <v>44620</v>
      </c>
      <c r="B76" t="s">
        <v>18</v>
      </c>
      <c r="C76" t="s">
        <v>13</v>
      </c>
      <c r="D76">
        <v>4</v>
      </c>
      <c r="E76">
        <v>52.1</v>
      </c>
      <c r="F76" t="s">
        <v>22</v>
      </c>
      <c r="G76">
        <f t="shared" si="11"/>
        <v>2022</v>
      </c>
      <c r="H76" s="3" t="str">
        <f t="shared" si="12"/>
        <v>Feb</v>
      </c>
      <c r="I76" s="8">
        <f t="shared" si="13"/>
        <v>2</v>
      </c>
      <c r="J76" s="4">
        <f t="shared" si="14"/>
        <v>44593</v>
      </c>
      <c r="K76" s="3" t="str">
        <f t="shared" si="15"/>
        <v>2022-Feb</v>
      </c>
      <c r="L76" s="8">
        <f t="shared" si="16"/>
        <v>738.18000000000006</v>
      </c>
      <c r="M76" s="8">
        <f t="shared" si="17"/>
        <v>1264.1315909090908</v>
      </c>
      <c r="N76" s="6">
        <f t="shared" si="18"/>
        <v>0.58394237222498602</v>
      </c>
      <c r="O76" s="8">
        <f t="shared" si="19"/>
        <v>882.82999999999993</v>
      </c>
      <c r="P76" s="6">
        <f t="shared" si="20"/>
        <v>-0.16384807947169883</v>
      </c>
      <c r="Q76" s="3" t="str">
        <f t="shared" si="21"/>
        <v>Degrowing</v>
      </c>
      <c r="R76" s="3">
        <f>IF(COUNTIFS($C$2:C76,C76,$J$2:J76,J76)=1,1,0)</f>
        <v>0</v>
      </c>
    </row>
    <row r="77" spans="1:18">
      <c r="A77" s="1">
        <v>44704</v>
      </c>
      <c r="B77" t="s">
        <v>9</v>
      </c>
      <c r="C77" t="s">
        <v>13</v>
      </c>
      <c r="D77">
        <v>6</v>
      </c>
      <c r="E77">
        <v>51.97</v>
      </c>
      <c r="F77" t="s">
        <v>14</v>
      </c>
      <c r="G77">
        <f t="shared" si="11"/>
        <v>2022</v>
      </c>
      <c r="H77" s="3" t="str">
        <f t="shared" si="12"/>
        <v>May</v>
      </c>
      <c r="I77" s="8">
        <f t="shared" si="13"/>
        <v>5</v>
      </c>
      <c r="J77" s="4">
        <f t="shared" si="14"/>
        <v>44682</v>
      </c>
      <c r="K77" s="3" t="str">
        <f t="shared" si="15"/>
        <v>2022-May</v>
      </c>
      <c r="L77" s="8">
        <f t="shared" si="16"/>
        <v>1938.8200000000002</v>
      </c>
      <c r="M77" s="8">
        <f t="shared" si="17"/>
        <v>758.4789545454546</v>
      </c>
      <c r="N77" s="6">
        <f t="shared" si="18"/>
        <v>2.5561948533719128</v>
      </c>
      <c r="O77" s="8">
        <f t="shared" si="19"/>
        <v>972.89</v>
      </c>
      <c r="P77" s="6">
        <f t="shared" si="20"/>
        <v>0.99284605659427083</v>
      </c>
      <c r="Q77" s="3" t="str">
        <f t="shared" si="21"/>
        <v>Growing</v>
      </c>
      <c r="R77" s="3">
        <f>IF(COUNTIFS($C$2:C77,C77,$J$2:J77,J77)=1,1,0)</f>
        <v>0</v>
      </c>
    </row>
    <row r="78" spans="1:18">
      <c r="A78" s="1">
        <v>44773</v>
      </c>
      <c r="B78" t="s">
        <v>9</v>
      </c>
      <c r="C78" t="s">
        <v>19</v>
      </c>
      <c r="D78">
        <v>14</v>
      </c>
      <c r="E78">
        <v>324.2</v>
      </c>
      <c r="F78" t="s">
        <v>16</v>
      </c>
      <c r="G78">
        <f t="shared" si="11"/>
        <v>2022</v>
      </c>
      <c r="H78" s="3" t="str">
        <f t="shared" si="12"/>
        <v>Jul</v>
      </c>
      <c r="I78" s="8">
        <f t="shared" si="13"/>
        <v>7</v>
      </c>
      <c r="J78" s="4">
        <f t="shared" si="14"/>
        <v>44743</v>
      </c>
      <c r="K78" s="3" t="str">
        <f t="shared" si="15"/>
        <v>2022-Jul</v>
      </c>
      <c r="L78" s="8">
        <f t="shared" si="16"/>
        <v>1767.0500000000002</v>
      </c>
      <c r="M78" s="8">
        <f t="shared" si="17"/>
        <v>709.47177777777802</v>
      </c>
      <c r="N78" s="6">
        <f t="shared" si="18"/>
        <v>2.4906558024545955</v>
      </c>
      <c r="O78" s="8">
        <f t="shared" si="19"/>
        <v>1655.98</v>
      </c>
      <c r="P78" s="6">
        <f t="shared" si="20"/>
        <v>6.7072066087754775E-2</v>
      </c>
      <c r="Q78" s="3" t="str">
        <f t="shared" si="21"/>
        <v>Growing</v>
      </c>
      <c r="R78" s="3">
        <f>IF(COUNTIFS($C$2:C78,C78,$J$2:J78,J78)=1,1,0)</f>
        <v>1</v>
      </c>
    </row>
    <row r="79" spans="1:18">
      <c r="A79" s="1">
        <v>44707</v>
      </c>
      <c r="B79" t="s">
        <v>18</v>
      </c>
      <c r="C79" t="s">
        <v>24</v>
      </c>
      <c r="D79">
        <v>9</v>
      </c>
      <c r="E79">
        <v>155.31</v>
      </c>
      <c r="F79" t="s">
        <v>14</v>
      </c>
      <c r="G79">
        <f t="shared" si="11"/>
        <v>2022</v>
      </c>
      <c r="H79" s="3" t="str">
        <f t="shared" si="12"/>
        <v>May</v>
      </c>
      <c r="I79" s="8">
        <f t="shared" si="13"/>
        <v>5</v>
      </c>
      <c r="J79" s="4">
        <f t="shared" si="14"/>
        <v>44682</v>
      </c>
      <c r="K79" s="3" t="str">
        <f t="shared" si="15"/>
        <v>2022-May</v>
      </c>
      <c r="L79" s="8">
        <f t="shared" si="16"/>
        <v>791.69999999999993</v>
      </c>
      <c r="M79" s="8">
        <f t="shared" si="17"/>
        <v>1094.9664444444443</v>
      </c>
      <c r="N79" s="6">
        <f t="shared" si="18"/>
        <v>0.72303585558887751</v>
      </c>
      <c r="O79" s="8">
        <f t="shared" si="19"/>
        <v>865.70999999999992</v>
      </c>
      <c r="P79" s="6">
        <f t="shared" si="20"/>
        <v>-8.5490522230308064E-2</v>
      </c>
      <c r="Q79" s="3" t="str">
        <f t="shared" si="21"/>
        <v>Degrowing</v>
      </c>
      <c r="R79" s="3">
        <f>IF(COUNTIFS($C$2:C79,C79,$J$2:J79,J79)=1,1,0)</f>
        <v>0</v>
      </c>
    </row>
    <row r="80" spans="1:18">
      <c r="A80" s="1">
        <v>44617</v>
      </c>
      <c r="B80" t="s">
        <v>18</v>
      </c>
      <c r="C80" t="s">
        <v>19</v>
      </c>
      <c r="D80">
        <v>13</v>
      </c>
      <c r="E80">
        <v>205.85</v>
      </c>
      <c r="F80" t="s">
        <v>14</v>
      </c>
      <c r="G80">
        <f t="shared" si="11"/>
        <v>2022</v>
      </c>
      <c r="H80" s="3" t="str">
        <f t="shared" si="12"/>
        <v>Feb</v>
      </c>
      <c r="I80" s="8">
        <f t="shared" si="13"/>
        <v>2</v>
      </c>
      <c r="J80" s="4">
        <f t="shared" si="14"/>
        <v>44593</v>
      </c>
      <c r="K80" s="3" t="str">
        <f t="shared" si="15"/>
        <v>2022-Feb</v>
      </c>
      <c r="L80" s="8">
        <f t="shared" si="16"/>
        <v>519.11</v>
      </c>
      <c r="M80" s="8">
        <f t="shared" si="17"/>
        <v>1773.6794444444454</v>
      </c>
      <c r="N80" s="6">
        <f t="shared" si="18"/>
        <v>0.29267408021554675</v>
      </c>
      <c r="O80" s="8">
        <f t="shared" si="19"/>
        <v>1368.74</v>
      </c>
      <c r="P80" s="6">
        <f t="shared" si="20"/>
        <v>-0.62073878165319929</v>
      </c>
      <c r="Q80" s="3" t="str">
        <f t="shared" si="21"/>
        <v>Degrowing</v>
      </c>
      <c r="R80" s="3">
        <f>IF(COUNTIFS($C$2:C80,C80,$J$2:J80,J80)=1,1,0)</f>
        <v>0</v>
      </c>
    </row>
    <row r="81" spans="1:18">
      <c r="A81" s="1">
        <v>44656</v>
      </c>
      <c r="B81" t="s">
        <v>6</v>
      </c>
      <c r="C81" t="s">
        <v>7</v>
      </c>
      <c r="D81">
        <v>4</v>
      </c>
      <c r="E81">
        <v>64.28</v>
      </c>
      <c r="F81" t="s">
        <v>14</v>
      </c>
      <c r="G81">
        <f t="shared" si="11"/>
        <v>2022</v>
      </c>
      <c r="H81" s="3" t="str">
        <f t="shared" si="12"/>
        <v>Apr</v>
      </c>
      <c r="I81" s="8">
        <f t="shared" si="13"/>
        <v>4</v>
      </c>
      <c r="J81" s="4">
        <f t="shared" si="14"/>
        <v>44652</v>
      </c>
      <c r="K81" s="3" t="str">
        <f t="shared" si="15"/>
        <v>2022-Apr</v>
      </c>
      <c r="L81" s="8">
        <f t="shared" si="16"/>
        <v>574.2399999999999</v>
      </c>
      <c r="M81" s="8">
        <f t="shared" si="17"/>
        <v>1206.8262499999996</v>
      </c>
      <c r="N81" s="6">
        <f t="shared" si="18"/>
        <v>0.47582657404079509</v>
      </c>
      <c r="O81" s="8">
        <f t="shared" si="19"/>
        <v>1795.9</v>
      </c>
      <c r="P81" s="6">
        <f t="shared" si="20"/>
        <v>-0.68024945709672047</v>
      </c>
      <c r="Q81" s="3" t="str">
        <f t="shared" si="21"/>
        <v>Degrowing</v>
      </c>
      <c r="R81" s="3">
        <f>IF(COUNTIFS($C$2:C81,C81,$J$2:J81,J81)=1,1,0)</f>
        <v>0</v>
      </c>
    </row>
    <row r="82" spans="1:18">
      <c r="A82" s="1">
        <v>44733</v>
      </c>
      <c r="B82" t="s">
        <v>21</v>
      </c>
      <c r="C82" t="s">
        <v>19</v>
      </c>
      <c r="D82">
        <v>1</v>
      </c>
      <c r="E82">
        <v>8.09</v>
      </c>
      <c r="F82" t="s">
        <v>22</v>
      </c>
      <c r="G82">
        <f t="shared" si="11"/>
        <v>2022</v>
      </c>
      <c r="H82" s="3" t="str">
        <f t="shared" si="12"/>
        <v>Jun</v>
      </c>
      <c r="I82" s="8">
        <f t="shared" si="13"/>
        <v>6</v>
      </c>
      <c r="J82" s="4">
        <f t="shared" si="14"/>
        <v>44713</v>
      </c>
      <c r="K82" s="3" t="str">
        <f t="shared" si="15"/>
        <v>2022-Jun</v>
      </c>
      <c r="L82" s="8">
        <f t="shared" si="16"/>
        <v>1655.98</v>
      </c>
      <c r="M82" s="8">
        <f t="shared" si="17"/>
        <v>591.22648148148176</v>
      </c>
      <c r="N82" s="6">
        <f t="shared" si="18"/>
        <v>2.8009232533875736</v>
      </c>
      <c r="O82" s="8">
        <f t="shared" si="19"/>
        <v>1584.09</v>
      </c>
      <c r="P82" s="6">
        <f t="shared" si="20"/>
        <v>4.5382522457688708E-2</v>
      </c>
      <c r="Q82" s="3" t="str">
        <f t="shared" si="21"/>
        <v>Growing</v>
      </c>
      <c r="R82" s="3">
        <f>IF(COUNTIFS($C$2:C82,C82,$J$2:J82,J82)=1,1,0)</f>
        <v>0</v>
      </c>
    </row>
    <row r="83" spans="1:18">
      <c r="A83" s="1">
        <v>44775</v>
      </c>
      <c r="B83" t="s">
        <v>15</v>
      </c>
      <c r="C83" t="s">
        <v>13</v>
      </c>
      <c r="D83">
        <v>10</v>
      </c>
      <c r="E83">
        <v>213.75</v>
      </c>
      <c r="F83" t="s">
        <v>11</v>
      </c>
      <c r="G83">
        <f t="shared" si="11"/>
        <v>2022</v>
      </c>
      <c r="H83" s="3" t="str">
        <f t="shared" si="12"/>
        <v>Aug</v>
      </c>
      <c r="I83" s="8">
        <f t="shared" si="13"/>
        <v>8</v>
      </c>
      <c r="J83" s="4">
        <f t="shared" si="14"/>
        <v>44774</v>
      </c>
      <c r="K83" s="3" t="str">
        <f t="shared" si="15"/>
        <v>2022-Aug</v>
      </c>
      <c r="L83" s="8">
        <f t="shared" si="16"/>
        <v>652.12</v>
      </c>
      <c r="M83" s="8">
        <f t="shared" si="17"/>
        <v>1896.1973863636363</v>
      </c>
      <c r="N83" s="6">
        <f t="shared" si="18"/>
        <v>0.34390934440141774</v>
      </c>
      <c r="O83" s="8">
        <f t="shared" si="19"/>
        <v>1653.05</v>
      </c>
      <c r="P83" s="6">
        <f t="shared" si="20"/>
        <v>-0.6055049756510692</v>
      </c>
      <c r="Q83" s="3" t="str">
        <f t="shared" si="21"/>
        <v>Degrowing</v>
      </c>
      <c r="R83" s="3">
        <f>IF(COUNTIFS($C$2:C83,C83,$J$2:J83,J83)=1,1,0)</f>
        <v>0</v>
      </c>
    </row>
    <row r="84" spans="1:18">
      <c r="A84" s="1">
        <v>44671</v>
      </c>
      <c r="B84" t="s">
        <v>6</v>
      </c>
      <c r="C84" t="s">
        <v>23</v>
      </c>
      <c r="D84">
        <v>18</v>
      </c>
      <c r="E84">
        <v>244.76</v>
      </c>
      <c r="F84" t="s">
        <v>22</v>
      </c>
      <c r="G84">
        <f t="shared" si="11"/>
        <v>2022</v>
      </c>
      <c r="H84" s="3" t="str">
        <f t="shared" si="12"/>
        <v>Apr</v>
      </c>
      <c r="I84" s="8">
        <f t="shared" si="13"/>
        <v>4</v>
      </c>
      <c r="J84" s="4">
        <f t="shared" si="14"/>
        <v>44652</v>
      </c>
      <c r="K84" s="3" t="str">
        <f t="shared" si="15"/>
        <v>2022-Apr</v>
      </c>
      <c r="L84" s="8">
        <f t="shared" si="16"/>
        <v>1623.23</v>
      </c>
      <c r="M84" s="8">
        <f t="shared" si="17"/>
        <v>1402.9947272727277</v>
      </c>
      <c r="N84" s="6">
        <f t="shared" si="18"/>
        <v>1.156975125028008</v>
      </c>
      <c r="O84" s="8">
        <f t="shared" si="19"/>
        <v>1922.5800000000002</v>
      </c>
      <c r="P84" s="6">
        <f t="shared" si="20"/>
        <v>-0.15570223345712539</v>
      </c>
      <c r="Q84" s="3" t="str">
        <f t="shared" si="21"/>
        <v>Degrowing</v>
      </c>
      <c r="R84" s="3">
        <f>IF(COUNTIFS($C$2:C84,C84,$J$2:J84,J84)=1,1,0)</f>
        <v>0</v>
      </c>
    </row>
    <row r="85" spans="1:18">
      <c r="A85" s="1">
        <v>44678</v>
      </c>
      <c r="B85" t="s">
        <v>9</v>
      </c>
      <c r="C85" t="s">
        <v>10</v>
      </c>
      <c r="D85">
        <v>19</v>
      </c>
      <c r="E85">
        <v>316.79000000000002</v>
      </c>
      <c r="F85" t="s">
        <v>22</v>
      </c>
      <c r="G85">
        <f t="shared" si="11"/>
        <v>2022</v>
      </c>
      <c r="H85" s="3" t="str">
        <f t="shared" si="12"/>
        <v>Apr</v>
      </c>
      <c r="I85" s="8">
        <f t="shared" si="13"/>
        <v>4</v>
      </c>
      <c r="J85" s="4">
        <f t="shared" si="14"/>
        <v>44652</v>
      </c>
      <c r="K85" s="3" t="str">
        <f t="shared" si="15"/>
        <v>2022-Apr</v>
      </c>
      <c r="L85" s="8">
        <f t="shared" si="16"/>
        <v>2185.4700000000003</v>
      </c>
      <c r="M85" s="8">
        <f t="shared" si="17"/>
        <v>841.31976923076911</v>
      </c>
      <c r="N85" s="6">
        <f t="shared" si="18"/>
        <v>2.5976686628892689</v>
      </c>
      <c r="O85" s="8">
        <f t="shared" si="19"/>
        <v>274.01</v>
      </c>
      <c r="P85" s="6">
        <f t="shared" si="20"/>
        <v>6.9758767928177816</v>
      </c>
      <c r="Q85" s="3" t="str">
        <f t="shared" si="21"/>
        <v>Growing</v>
      </c>
      <c r="R85" s="3">
        <f>IF(COUNTIFS($C$2:C85,C85,$J$2:J85,J85)=1,1,0)</f>
        <v>0</v>
      </c>
    </row>
    <row r="86" spans="1:18">
      <c r="A86" s="1">
        <v>44742</v>
      </c>
      <c r="B86" t="s">
        <v>21</v>
      </c>
      <c r="C86" t="s">
        <v>10</v>
      </c>
      <c r="D86">
        <v>20</v>
      </c>
      <c r="E86">
        <v>219.72</v>
      </c>
      <c r="F86" t="s">
        <v>16</v>
      </c>
      <c r="G86">
        <f t="shared" si="11"/>
        <v>2022</v>
      </c>
      <c r="H86" s="3" t="str">
        <f t="shared" si="12"/>
        <v>Jun</v>
      </c>
      <c r="I86" s="8">
        <f t="shared" si="13"/>
        <v>6</v>
      </c>
      <c r="J86" s="4">
        <f t="shared" si="14"/>
        <v>44713</v>
      </c>
      <c r="K86" s="3" t="str">
        <f t="shared" si="15"/>
        <v>2022-Jun</v>
      </c>
      <c r="L86" s="8">
        <f t="shared" si="16"/>
        <v>761.09999999999991</v>
      </c>
      <c r="M86" s="8">
        <f t="shared" si="17"/>
        <v>1402.1996153846153</v>
      </c>
      <c r="N86" s="6">
        <f t="shared" si="18"/>
        <v>0.54279005046741124</v>
      </c>
      <c r="O86" s="8">
        <f t="shared" si="19"/>
        <v>2645.1499999999996</v>
      </c>
      <c r="P86" s="6">
        <f t="shared" si="20"/>
        <v>-0.71226584503714341</v>
      </c>
      <c r="Q86" s="3" t="str">
        <f t="shared" si="21"/>
        <v>Degrowing</v>
      </c>
      <c r="R86" s="3">
        <f>IF(COUNTIFS($C$2:C86,C86,$J$2:J86,J86)=1,1,0)</f>
        <v>0</v>
      </c>
    </row>
    <row r="87" spans="1:18">
      <c r="A87" s="1">
        <v>44627</v>
      </c>
      <c r="B87" t="s">
        <v>15</v>
      </c>
      <c r="C87" t="s">
        <v>13</v>
      </c>
      <c r="D87">
        <v>18</v>
      </c>
      <c r="E87">
        <v>371.23</v>
      </c>
      <c r="F87" t="s">
        <v>22</v>
      </c>
      <c r="G87">
        <f t="shared" si="11"/>
        <v>2022</v>
      </c>
      <c r="H87" s="3" t="str">
        <f t="shared" si="12"/>
        <v>Mar</v>
      </c>
      <c r="I87" s="8">
        <f t="shared" si="13"/>
        <v>3</v>
      </c>
      <c r="J87" s="4">
        <f t="shared" si="14"/>
        <v>44621</v>
      </c>
      <c r="K87" s="3" t="str">
        <f t="shared" si="15"/>
        <v>2022-Mar</v>
      </c>
      <c r="L87" s="8">
        <f t="shared" si="16"/>
        <v>522.87</v>
      </c>
      <c r="M87" s="8">
        <f t="shared" si="17"/>
        <v>3792.3947727272725</v>
      </c>
      <c r="N87" s="6">
        <f t="shared" si="18"/>
        <v>0.13787330468868406</v>
      </c>
      <c r="O87" s="8">
        <f t="shared" si="19"/>
        <v>738.18000000000006</v>
      </c>
      <c r="P87" s="6">
        <f t="shared" si="20"/>
        <v>-0.29167682679021384</v>
      </c>
      <c r="Q87" s="3" t="str">
        <f t="shared" si="21"/>
        <v>Degrowing</v>
      </c>
      <c r="R87" s="3">
        <f>IF(COUNTIFS($C$2:C87,C87,$J$2:J87,J87)=1,1,0)</f>
        <v>1</v>
      </c>
    </row>
    <row r="88" spans="1:18">
      <c r="A88" s="1">
        <v>44702</v>
      </c>
      <c r="B88" t="s">
        <v>15</v>
      </c>
      <c r="C88" t="s">
        <v>19</v>
      </c>
      <c r="D88">
        <v>12</v>
      </c>
      <c r="E88">
        <v>242.44</v>
      </c>
      <c r="F88" t="s">
        <v>16</v>
      </c>
      <c r="G88">
        <f t="shared" si="11"/>
        <v>2022</v>
      </c>
      <c r="H88" s="3" t="str">
        <f t="shared" si="12"/>
        <v>May</v>
      </c>
      <c r="I88" s="8">
        <f t="shared" si="13"/>
        <v>5</v>
      </c>
      <c r="J88" s="4">
        <f t="shared" si="14"/>
        <v>44682</v>
      </c>
      <c r="K88" s="3" t="str">
        <f t="shared" si="15"/>
        <v>2022-May</v>
      </c>
      <c r="L88" s="8">
        <f t="shared" si="16"/>
        <v>1584.09</v>
      </c>
      <c r="M88" s="8">
        <f t="shared" si="17"/>
        <v>709.47177777777802</v>
      </c>
      <c r="N88" s="6">
        <f t="shared" si="18"/>
        <v>2.2327738038597094</v>
      </c>
      <c r="O88" s="8">
        <f t="shared" si="19"/>
        <v>377.24</v>
      </c>
      <c r="P88" s="6">
        <f t="shared" si="20"/>
        <v>3.1991570353090868</v>
      </c>
      <c r="Q88" s="3" t="str">
        <f t="shared" si="21"/>
        <v>Growing</v>
      </c>
      <c r="R88" s="3">
        <f>IF(COUNTIFS($C$2:C88,C88,$J$2:J88,J88)=1,1,0)</f>
        <v>0</v>
      </c>
    </row>
    <row r="89" spans="1:18">
      <c r="A89" s="1">
        <v>44745</v>
      </c>
      <c r="B89" t="s">
        <v>12</v>
      </c>
      <c r="C89" t="s">
        <v>19</v>
      </c>
      <c r="D89">
        <v>18</v>
      </c>
      <c r="E89">
        <v>214.09</v>
      </c>
      <c r="F89" t="s">
        <v>14</v>
      </c>
      <c r="G89">
        <f t="shared" si="11"/>
        <v>2022</v>
      </c>
      <c r="H89" s="3" t="str">
        <f t="shared" si="12"/>
        <v>Jul</v>
      </c>
      <c r="I89" s="8">
        <f t="shared" si="13"/>
        <v>7</v>
      </c>
      <c r="J89" s="4">
        <f t="shared" si="14"/>
        <v>44743</v>
      </c>
      <c r="K89" s="3" t="str">
        <f t="shared" si="15"/>
        <v>2022-Jul</v>
      </c>
      <c r="L89" s="8">
        <f t="shared" si="16"/>
        <v>1767.0500000000002</v>
      </c>
      <c r="M89" s="8">
        <f t="shared" si="17"/>
        <v>709.47177777777802</v>
      </c>
      <c r="N89" s="6">
        <f t="shared" si="18"/>
        <v>2.4906558024545955</v>
      </c>
      <c r="O89" s="8">
        <f t="shared" si="19"/>
        <v>1655.98</v>
      </c>
      <c r="P89" s="6">
        <f t="shared" si="20"/>
        <v>6.7072066087754775E-2</v>
      </c>
      <c r="Q89" s="3" t="str">
        <f t="shared" si="21"/>
        <v>Growing</v>
      </c>
      <c r="R89" s="3">
        <f>IF(COUNTIFS($C$2:C89,C89,$J$2:J89,J89)=1,1,0)</f>
        <v>0</v>
      </c>
    </row>
    <row r="90" spans="1:18">
      <c r="A90" s="1">
        <v>44633</v>
      </c>
      <c r="B90" t="s">
        <v>9</v>
      </c>
      <c r="C90" t="s">
        <v>24</v>
      </c>
      <c r="D90">
        <v>20</v>
      </c>
      <c r="E90">
        <v>183.48</v>
      </c>
      <c r="F90" t="s">
        <v>22</v>
      </c>
      <c r="G90">
        <f t="shared" si="11"/>
        <v>2022</v>
      </c>
      <c r="H90" s="3" t="str">
        <f t="shared" si="12"/>
        <v>Mar</v>
      </c>
      <c r="I90" s="8">
        <f t="shared" si="13"/>
        <v>3</v>
      </c>
      <c r="J90" s="4">
        <f t="shared" si="14"/>
        <v>44621</v>
      </c>
      <c r="K90" s="3" t="str">
        <f t="shared" si="15"/>
        <v>2022-Mar</v>
      </c>
      <c r="L90" s="8">
        <f t="shared" si="16"/>
        <v>760.68999999999994</v>
      </c>
      <c r="M90" s="8">
        <f t="shared" si="17"/>
        <v>1313.9597333333331</v>
      </c>
      <c r="N90" s="6">
        <f t="shared" si="18"/>
        <v>0.57892946085207286</v>
      </c>
      <c r="O90" s="8">
        <f t="shared" si="19"/>
        <v>930.81000000000006</v>
      </c>
      <c r="P90" s="6">
        <f t="shared" si="20"/>
        <v>-0.18276554828590164</v>
      </c>
      <c r="Q90" s="3" t="str">
        <f t="shared" si="21"/>
        <v>Degrowing</v>
      </c>
      <c r="R90" s="3">
        <f>IF(COUNTIFS($C$2:C90,C90,$J$2:J90,J90)=1,1,0)</f>
        <v>0</v>
      </c>
    </row>
    <row r="91" spans="1:18">
      <c r="A91" s="1">
        <v>44722</v>
      </c>
      <c r="B91" t="s">
        <v>6</v>
      </c>
      <c r="C91" t="s">
        <v>23</v>
      </c>
      <c r="D91">
        <v>11</v>
      </c>
      <c r="E91">
        <v>272.97000000000003</v>
      </c>
      <c r="F91" t="s">
        <v>8</v>
      </c>
      <c r="G91">
        <f t="shared" si="11"/>
        <v>2022</v>
      </c>
      <c r="H91" s="3" t="str">
        <f t="shared" si="12"/>
        <v>Jun</v>
      </c>
      <c r="I91" s="8">
        <f t="shared" si="13"/>
        <v>6</v>
      </c>
      <c r="J91" s="4">
        <f t="shared" si="14"/>
        <v>44713</v>
      </c>
      <c r="K91" s="3" t="str">
        <f t="shared" si="15"/>
        <v>2022-Jun</v>
      </c>
      <c r="L91" s="8">
        <f t="shared" si="16"/>
        <v>2252.73</v>
      </c>
      <c r="M91" s="8">
        <f t="shared" si="17"/>
        <v>765.26985123966961</v>
      </c>
      <c r="N91" s="6">
        <f t="shared" si="18"/>
        <v>2.9437067151551526</v>
      </c>
      <c r="O91" s="8">
        <f t="shared" si="19"/>
        <v>185.17000000000002</v>
      </c>
      <c r="P91" s="6">
        <f t="shared" si="20"/>
        <v>11.165739590646432</v>
      </c>
      <c r="Q91" s="3" t="str">
        <f t="shared" si="21"/>
        <v>Growing</v>
      </c>
      <c r="R91" s="3">
        <f>IF(COUNTIFS($C$2:C91,C91,$J$2:J91,J91)=1,1,0)</f>
        <v>0</v>
      </c>
    </row>
    <row r="92" spans="1:18">
      <c r="A92" s="1">
        <v>44597</v>
      </c>
      <c r="B92" t="s">
        <v>12</v>
      </c>
      <c r="C92" t="s">
        <v>13</v>
      </c>
      <c r="D92">
        <v>13</v>
      </c>
      <c r="E92">
        <v>129.30000000000001</v>
      </c>
      <c r="F92" t="s">
        <v>14</v>
      </c>
      <c r="G92">
        <f t="shared" si="11"/>
        <v>2022</v>
      </c>
      <c r="H92" s="3" t="str">
        <f t="shared" si="12"/>
        <v>Feb</v>
      </c>
      <c r="I92" s="8">
        <f t="shared" si="13"/>
        <v>2</v>
      </c>
      <c r="J92" s="4">
        <f t="shared" si="14"/>
        <v>44593</v>
      </c>
      <c r="K92" s="3" t="str">
        <f t="shared" si="15"/>
        <v>2022-Feb</v>
      </c>
      <c r="L92" s="8">
        <f t="shared" si="16"/>
        <v>738.18000000000006</v>
      </c>
      <c r="M92" s="8">
        <f t="shared" si="17"/>
        <v>1264.1315909090908</v>
      </c>
      <c r="N92" s="6">
        <f t="shared" si="18"/>
        <v>0.58394237222498602</v>
      </c>
      <c r="O92" s="8">
        <f t="shared" si="19"/>
        <v>882.82999999999993</v>
      </c>
      <c r="P92" s="6">
        <f t="shared" si="20"/>
        <v>-0.16384807947169883</v>
      </c>
      <c r="Q92" s="3" t="str">
        <f t="shared" si="21"/>
        <v>Degrowing</v>
      </c>
      <c r="R92" s="3">
        <f>IF(COUNTIFS($C$2:C92,C92,$J$2:J92,J92)=1,1,0)</f>
        <v>0</v>
      </c>
    </row>
    <row r="93" spans="1:18">
      <c r="A93" s="1">
        <v>44704</v>
      </c>
      <c r="B93" t="s">
        <v>15</v>
      </c>
      <c r="C93" t="s">
        <v>13</v>
      </c>
      <c r="D93">
        <v>5</v>
      </c>
      <c r="E93">
        <v>59.7</v>
      </c>
      <c r="F93" t="s">
        <v>14</v>
      </c>
      <c r="G93">
        <f t="shared" si="11"/>
        <v>2022</v>
      </c>
      <c r="H93" s="3" t="str">
        <f t="shared" si="12"/>
        <v>May</v>
      </c>
      <c r="I93" s="8">
        <f t="shared" si="13"/>
        <v>5</v>
      </c>
      <c r="J93" s="4">
        <f t="shared" si="14"/>
        <v>44682</v>
      </c>
      <c r="K93" s="3" t="str">
        <f t="shared" si="15"/>
        <v>2022-May</v>
      </c>
      <c r="L93" s="8">
        <f t="shared" si="16"/>
        <v>1938.8200000000002</v>
      </c>
      <c r="M93" s="8">
        <f t="shared" si="17"/>
        <v>758.4789545454546</v>
      </c>
      <c r="N93" s="6">
        <f t="shared" si="18"/>
        <v>2.5561948533719128</v>
      </c>
      <c r="O93" s="8">
        <f t="shared" si="19"/>
        <v>972.89</v>
      </c>
      <c r="P93" s="6">
        <f t="shared" si="20"/>
        <v>0.99284605659427083</v>
      </c>
      <c r="Q93" s="3" t="str">
        <f t="shared" si="21"/>
        <v>Growing</v>
      </c>
      <c r="R93" s="3">
        <f>IF(COUNTIFS($C$2:C93,C93,$J$2:J93,J93)=1,1,0)</f>
        <v>0</v>
      </c>
    </row>
    <row r="94" spans="1:18">
      <c r="A94" s="1">
        <v>44784</v>
      </c>
      <c r="B94" t="s">
        <v>12</v>
      </c>
      <c r="C94" t="s">
        <v>19</v>
      </c>
      <c r="D94">
        <v>20</v>
      </c>
      <c r="E94">
        <v>210.82</v>
      </c>
      <c r="F94" t="s">
        <v>14</v>
      </c>
      <c r="G94">
        <f t="shared" si="11"/>
        <v>2022</v>
      </c>
      <c r="H94" s="3" t="str">
        <f t="shared" si="12"/>
        <v>Aug</v>
      </c>
      <c r="I94" s="8">
        <f t="shared" si="13"/>
        <v>8</v>
      </c>
      <c r="J94" s="4">
        <f t="shared" si="14"/>
        <v>44774</v>
      </c>
      <c r="K94" s="3" t="str">
        <f t="shared" si="15"/>
        <v>2022-Aug</v>
      </c>
      <c r="L94" s="8">
        <f t="shared" si="16"/>
        <v>753.67000000000007</v>
      </c>
      <c r="M94" s="8">
        <f t="shared" si="17"/>
        <v>1418.943555555556</v>
      </c>
      <c r="N94" s="6">
        <f t="shared" si="18"/>
        <v>0.53114868244700353</v>
      </c>
      <c r="O94" s="8">
        <f t="shared" si="19"/>
        <v>1767.0500000000002</v>
      </c>
      <c r="P94" s="6">
        <f t="shared" si="20"/>
        <v>-0.57348688492119637</v>
      </c>
      <c r="Q94" s="3" t="str">
        <f t="shared" si="21"/>
        <v>Degrowing</v>
      </c>
      <c r="R94" s="3">
        <f>IF(COUNTIFS($C$2:C94,C94,$J$2:J94,J94)=1,1,0)</f>
        <v>1</v>
      </c>
    </row>
    <row r="95" spans="1:18">
      <c r="A95" s="1">
        <v>44633</v>
      </c>
      <c r="B95" t="s">
        <v>6</v>
      </c>
      <c r="C95" t="s">
        <v>7</v>
      </c>
      <c r="D95">
        <v>6</v>
      </c>
      <c r="E95">
        <v>115.79</v>
      </c>
      <c r="F95" t="s">
        <v>11</v>
      </c>
      <c r="G95">
        <f t="shared" si="11"/>
        <v>2022</v>
      </c>
      <c r="H95" s="3" t="str">
        <f t="shared" si="12"/>
        <v>Mar</v>
      </c>
      <c r="I95" s="8">
        <f t="shared" si="13"/>
        <v>3</v>
      </c>
      <c r="J95" s="4">
        <f t="shared" si="14"/>
        <v>44621</v>
      </c>
      <c r="K95" s="3" t="str">
        <f t="shared" si="15"/>
        <v>2022-Mar</v>
      </c>
      <c r="L95" s="8">
        <f t="shared" si="16"/>
        <v>1795.9</v>
      </c>
      <c r="M95" s="8">
        <f t="shared" si="17"/>
        <v>862.01874999999984</v>
      </c>
      <c r="N95" s="6">
        <f t="shared" si="18"/>
        <v>2.0833653560319894</v>
      </c>
      <c r="O95" s="8">
        <f t="shared" si="19"/>
        <v>837.85</v>
      </c>
      <c r="P95" s="6">
        <f t="shared" si="20"/>
        <v>1.1434624336098347</v>
      </c>
      <c r="Q95" s="3" t="str">
        <f t="shared" si="21"/>
        <v>Growing</v>
      </c>
      <c r="R95" s="3">
        <f>IF(COUNTIFS($C$2:C95,C95,$J$2:J95,J95)=1,1,0)</f>
        <v>1</v>
      </c>
    </row>
    <row r="96" spans="1:18">
      <c r="A96" s="1">
        <v>44718</v>
      </c>
      <c r="B96" t="s">
        <v>9</v>
      </c>
      <c r="C96" t="s">
        <v>23</v>
      </c>
      <c r="D96">
        <v>18</v>
      </c>
      <c r="E96">
        <v>322.41000000000003</v>
      </c>
      <c r="F96" t="s">
        <v>14</v>
      </c>
      <c r="G96">
        <f t="shared" si="11"/>
        <v>2022</v>
      </c>
      <c r="H96" s="3" t="str">
        <f t="shared" si="12"/>
        <v>Jun</v>
      </c>
      <c r="I96" s="8">
        <f t="shared" si="13"/>
        <v>6</v>
      </c>
      <c r="J96" s="4">
        <f t="shared" si="14"/>
        <v>44713</v>
      </c>
      <c r="K96" s="3" t="str">
        <f t="shared" si="15"/>
        <v>2022-Jun</v>
      </c>
      <c r="L96" s="8">
        <f t="shared" si="16"/>
        <v>2252.73</v>
      </c>
      <c r="M96" s="8">
        <f t="shared" si="17"/>
        <v>765.26985123966961</v>
      </c>
      <c r="N96" s="6">
        <f t="shared" si="18"/>
        <v>2.9437067151551526</v>
      </c>
      <c r="O96" s="8">
        <f t="shared" si="19"/>
        <v>185.17000000000002</v>
      </c>
      <c r="P96" s="6">
        <f t="shared" si="20"/>
        <v>11.165739590646432</v>
      </c>
      <c r="Q96" s="3" t="str">
        <f t="shared" si="21"/>
        <v>Growing</v>
      </c>
      <c r="R96" s="3">
        <f>IF(COUNTIFS($C$2:C96,C96,$J$2:J96,J96)=1,1,0)</f>
        <v>0</v>
      </c>
    </row>
    <row r="97" spans="1:18">
      <c r="A97" s="1">
        <v>44762</v>
      </c>
      <c r="B97" t="s">
        <v>9</v>
      </c>
      <c r="C97" t="s">
        <v>7</v>
      </c>
      <c r="D97">
        <v>4</v>
      </c>
      <c r="E97">
        <v>73.39</v>
      </c>
      <c r="F97" t="s">
        <v>14</v>
      </c>
      <c r="G97">
        <f t="shared" si="11"/>
        <v>2022</v>
      </c>
      <c r="H97" s="3" t="str">
        <f t="shared" si="12"/>
        <v>Jul</v>
      </c>
      <c r="I97" s="8">
        <f t="shared" si="13"/>
        <v>7</v>
      </c>
      <c r="J97" s="4">
        <f t="shared" si="14"/>
        <v>44743</v>
      </c>
      <c r="K97" s="3" t="str">
        <f t="shared" si="15"/>
        <v>2022-Jul</v>
      </c>
      <c r="L97" s="8">
        <f t="shared" si="16"/>
        <v>537.31000000000006</v>
      </c>
      <c r="M97" s="8">
        <f t="shared" si="17"/>
        <v>862.01874999999984</v>
      </c>
      <c r="N97" s="6">
        <f t="shared" si="18"/>
        <v>0.62331590815165006</v>
      </c>
      <c r="O97" s="8">
        <f t="shared" si="19"/>
        <v>1013.7</v>
      </c>
      <c r="P97" s="6">
        <f t="shared" si="20"/>
        <v>-0.46995166222748347</v>
      </c>
      <c r="Q97" s="3" t="str">
        <f t="shared" si="21"/>
        <v>Degrowing</v>
      </c>
      <c r="R97" s="3">
        <f>IF(COUNTIFS($C$2:C97,C97,$J$2:J97,J97)=1,1,0)</f>
        <v>0</v>
      </c>
    </row>
    <row r="98" spans="1:18">
      <c r="A98" s="1">
        <v>44718</v>
      </c>
      <c r="B98" t="s">
        <v>18</v>
      </c>
      <c r="C98" t="s">
        <v>10</v>
      </c>
      <c r="D98">
        <v>4</v>
      </c>
      <c r="E98">
        <v>50.12</v>
      </c>
      <c r="F98" t="s">
        <v>16</v>
      </c>
      <c r="G98">
        <f t="shared" si="11"/>
        <v>2022</v>
      </c>
      <c r="H98" s="3" t="str">
        <f t="shared" si="12"/>
        <v>Jun</v>
      </c>
      <c r="I98" s="8">
        <f t="shared" si="13"/>
        <v>6</v>
      </c>
      <c r="J98" s="4">
        <f t="shared" si="14"/>
        <v>44713</v>
      </c>
      <c r="K98" s="3" t="str">
        <f t="shared" si="15"/>
        <v>2022-Jun</v>
      </c>
      <c r="L98" s="8">
        <f t="shared" si="16"/>
        <v>761.09999999999991</v>
      </c>
      <c r="M98" s="8">
        <f t="shared" si="17"/>
        <v>1402.1996153846153</v>
      </c>
      <c r="N98" s="6">
        <f t="shared" si="18"/>
        <v>0.54279005046741124</v>
      </c>
      <c r="O98" s="8">
        <f t="shared" si="19"/>
        <v>2645.1499999999996</v>
      </c>
      <c r="P98" s="6">
        <f t="shared" si="20"/>
        <v>-0.71226584503714341</v>
      </c>
      <c r="Q98" s="3" t="str">
        <f t="shared" si="21"/>
        <v>Degrowing</v>
      </c>
      <c r="R98" s="3">
        <f>IF(COUNTIFS($C$2:C98,C98,$J$2:J98,J98)=1,1,0)</f>
        <v>0</v>
      </c>
    </row>
    <row r="99" spans="1:18">
      <c r="A99" s="1">
        <v>44619</v>
      </c>
      <c r="B99" t="s">
        <v>21</v>
      </c>
      <c r="C99" t="s">
        <v>24</v>
      </c>
      <c r="D99">
        <v>3</v>
      </c>
      <c r="E99">
        <v>45.16</v>
      </c>
      <c r="F99" t="s">
        <v>14</v>
      </c>
      <c r="G99">
        <f t="shared" si="11"/>
        <v>2022</v>
      </c>
      <c r="H99" s="3" t="str">
        <f t="shared" si="12"/>
        <v>Feb</v>
      </c>
      <c r="I99" s="8">
        <f t="shared" si="13"/>
        <v>2</v>
      </c>
      <c r="J99" s="4">
        <f t="shared" si="14"/>
        <v>44593</v>
      </c>
      <c r="K99" s="3" t="str">
        <f t="shared" si="15"/>
        <v>2022-Feb</v>
      </c>
      <c r="L99" s="8">
        <f t="shared" si="16"/>
        <v>930.81000000000006</v>
      </c>
      <c r="M99" s="8">
        <f t="shared" si="17"/>
        <v>1094.9664444444443</v>
      </c>
      <c r="N99" s="6">
        <f t="shared" si="18"/>
        <v>0.85008084468950762</v>
      </c>
      <c r="O99" s="8">
        <f t="shared" si="19"/>
        <v>1214.3899999999999</v>
      </c>
      <c r="P99" s="6">
        <f t="shared" si="20"/>
        <v>-0.23351641564900885</v>
      </c>
      <c r="Q99" s="3" t="str">
        <f t="shared" si="21"/>
        <v>Degrowing</v>
      </c>
      <c r="R99" s="3">
        <f>IF(COUNTIFS($C$2:C99,C99,$J$2:J99,J99)=1,1,0)</f>
        <v>0</v>
      </c>
    </row>
    <row r="100" spans="1:18">
      <c r="A100" s="1">
        <v>44801</v>
      </c>
      <c r="B100" t="s">
        <v>15</v>
      </c>
      <c r="C100" t="s">
        <v>7</v>
      </c>
      <c r="D100">
        <v>16</v>
      </c>
      <c r="E100">
        <v>212.81</v>
      </c>
      <c r="F100" t="s">
        <v>11</v>
      </c>
      <c r="G100">
        <f t="shared" si="11"/>
        <v>2022</v>
      </c>
      <c r="H100" s="3" t="str">
        <f t="shared" si="12"/>
        <v>Aug</v>
      </c>
      <c r="I100" s="8">
        <f t="shared" si="13"/>
        <v>8</v>
      </c>
      <c r="J100" s="4">
        <f t="shared" si="14"/>
        <v>44774</v>
      </c>
      <c r="K100" s="3" t="str">
        <f t="shared" si="15"/>
        <v>2022-Aug</v>
      </c>
      <c r="L100" s="8">
        <f t="shared" si="16"/>
        <v>1020.76</v>
      </c>
      <c r="M100" s="8">
        <f t="shared" si="17"/>
        <v>1206.8262499999996</v>
      </c>
      <c r="N100" s="6">
        <f t="shared" si="18"/>
        <v>0.8458218405507838</v>
      </c>
      <c r="O100" s="8">
        <f t="shared" si="19"/>
        <v>537.31000000000006</v>
      </c>
      <c r="P100" s="6">
        <f t="shared" si="20"/>
        <v>0.89975991513279086</v>
      </c>
      <c r="Q100" s="3" t="str">
        <f t="shared" si="21"/>
        <v>Growing</v>
      </c>
      <c r="R100" s="3">
        <f>IF(COUNTIFS($C$2:C100,C100,$J$2:J100,J100)=1,1,0)</f>
        <v>0</v>
      </c>
    </row>
    <row r="101" spans="1:18">
      <c r="A101" s="1">
        <v>44693</v>
      </c>
      <c r="B101" t="s">
        <v>21</v>
      </c>
      <c r="C101" t="s">
        <v>19</v>
      </c>
      <c r="D101">
        <v>19</v>
      </c>
      <c r="E101">
        <v>192.59</v>
      </c>
      <c r="F101" t="s">
        <v>16</v>
      </c>
      <c r="G101">
        <f t="shared" si="11"/>
        <v>2022</v>
      </c>
      <c r="H101" s="3" t="str">
        <f t="shared" si="12"/>
        <v>May</v>
      </c>
      <c r="I101" s="8">
        <f t="shared" si="13"/>
        <v>5</v>
      </c>
      <c r="J101" s="4">
        <f t="shared" si="14"/>
        <v>44682</v>
      </c>
      <c r="K101" s="3" t="str">
        <f t="shared" si="15"/>
        <v>2022-May</v>
      </c>
      <c r="L101" s="8">
        <f t="shared" si="16"/>
        <v>1584.09</v>
      </c>
      <c r="M101" s="8">
        <f t="shared" si="17"/>
        <v>709.47177777777802</v>
      </c>
      <c r="N101" s="6">
        <f t="shared" si="18"/>
        <v>2.2327738038597094</v>
      </c>
      <c r="O101" s="8">
        <f t="shared" si="19"/>
        <v>377.24</v>
      </c>
      <c r="P101" s="6">
        <f t="shared" si="20"/>
        <v>3.1991570353090868</v>
      </c>
      <c r="Q101" s="3" t="str">
        <f t="shared" si="21"/>
        <v>Growing</v>
      </c>
      <c r="R101" s="3">
        <f>IF(COUNTIFS($C$2:C101,C101,$J$2:J101,J101)=1,1,0)</f>
        <v>0</v>
      </c>
    </row>
    <row r="102" spans="1:18">
      <c r="A102" s="1">
        <v>44715</v>
      </c>
      <c r="B102" t="s">
        <v>21</v>
      </c>
      <c r="C102" t="s">
        <v>10</v>
      </c>
      <c r="D102">
        <v>2</v>
      </c>
      <c r="E102">
        <v>36.56</v>
      </c>
      <c r="F102" t="s">
        <v>16</v>
      </c>
      <c r="G102">
        <f t="shared" si="11"/>
        <v>2022</v>
      </c>
      <c r="H102" s="3" t="str">
        <f t="shared" si="12"/>
        <v>Jun</v>
      </c>
      <c r="I102" s="8">
        <f t="shared" si="13"/>
        <v>6</v>
      </c>
      <c r="J102" s="4">
        <f t="shared" si="14"/>
        <v>44713</v>
      </c>
      <c r="K102" s="3" t="str">
        <f t="shared" si="15"/>
        <v>2022-Jun</v>
      </c>
      <c r="L102" s="8">
        <f t="shared" si="16"/>
        <v>761.09999999999991</v>
      </c>
      <c r="M102" s="8">
        <f t="shared" si="17"/>
        <v>1402.1996153846153</v>
      </c>
      <c r="N102" s="6">
        <f t="shared" si="18"/>
        <v>0.54279005046741124</v>
      </c>
      <c r="O102" s="8">
        <f t="shared" si="19"/>
        <v>2645.1499999999996</v>
      </c>
      <c r="P102" s="6">
        <f t="shared" si="20"/>
        <v>-0.71226584503714341</v>
      </c>
      <c r="Q102" s="3" t="str">
        <f t="shared" si="21"/>
        <v>Degrowing</v>
      </c>
      <c r="R102" s="3">
        <f>IF(COUNTIFS($C$2:C102,C102,$J$2:J102,J102)=1,1,0)</f>
        <v>0</v>
      </c>
    </row>
    <row r="103" spans="1:18">
      <c r="A103" s="1">
        <v>44631</v>
      </c>
      <c r="B103" t="s">
        <v>12</v>
      </c>
      <c r="C103" t="s">
        <v>19</v>
      </c>
      <c r="D103">
        <v>15</v>
      </c>
      <c r="E103">
        <v>244.66</v>
      </c>
      <c r="F103" t="s">
        <v>11</v>
      </c>
      <c r="G103">
        <f t="shared" si="11"/>
        <v>2022</v>
      </c>
      <c r="H103" s="3" t="str">
        <f t="shared" si="12"/>
        <v>Mar</v>
      </c>
      <c r="I103" s="8">
        <f t="shared" si="13"/>
        <v>3</v>
      </c>
      <c r="J103" s="4">
        <f t="shared" si="14"/>
        <v>44621</v>
      </c>
      <c r="K103" s="3" t="str">
        <f t="shared" si="15"/>
        <v>2022-Mar</v>
      </c>
      <c r="L103" s="8">
        <f t="shared" si="16"/>
        <v>1095.8999999999999</v>
      </c>
      <c r="M103" s="8">
        <f t="shared" si="17"/>
        <v>1418.943555555556</v>
      </c>
      <c r="N103" s="6">
        <f t="shared" si="18"/>
        <v>0.77233516140176861</v>
      </c>
      <c r="O103" s="8">
        <f t="shared" si="19"/>
        <v>519.11</v>
      </c>
      <c r="P103" s="6">
        <f t="shared" si="20"/>
        <v>1.1111132515266511</v>
      </c>
      <c r="Q103" s="3" t="str">
        <f t="shared" si="21"/>
        <v>Growing</v>
      </c>
      <c r="R103" s="3">
        <f>IF(COUNTIFS($C$2:C103,C103,$J$2:J103,J103)=1,1,0)</f>
        <v>0</v>
      </c>
    </row>
    <row r="104" spans="1:18">
      <c r="A104" s="1">
        <v>44709</v>
      </c>
      <c r="B104" t="s">
        <v>15</v>
      </c>
      <c r="C104" t="s">
        <v>20</v>
      </c>
      <c r="D104">
        <v>17</v>
      </c>
      <c r="E104">
        <v>281.12</v>
      </c>
      <c r="F104" t="s">
        <v>14</v>
      </c>
      <c r="G104">
        <f t="shared" si="11"/>
        <v>2022</v>
      </c>
      <c r="H104" s="3" t="str">
        <f t="shared" si="12"/>
        <v>May</v>
      </c>
      <c r="I104" s="8">
        <f t="shared" si="13"/>
        <v>5</v>
      </c>
      <c r="J104" s="4">
        <f t="shared" si="14"/>
        <v>44682</v>
      </c>
      <c r="K104" s="3" t="str">
        <f t="shared" si="15"/>
        <v>2022-May</v>
      </c>
      <c r="L104" s="8">
        <f t="shared" si="16"/>
        <v>1280.45</v>
      </c>
      <c r="M104" s="8">
        <f t="shared" si="17"/>
        <v>1556.7479999999998</v>
      </c>
      <c r="N104" s="6">
        <f t="shared" si="18"/>
        <v>0.82251591137422386</v>
      </c>
      <c r="O104" s="8">
        <f t="shared" si="19"/>
        <v>740.37</v>
      </c>
      <c r="P104" s="6">
        <f t="shared" si="20"/>
        <v>0.72947310128719434</v>
      </c>
      <c r="Q104" s="3" t="str">
        <f t="shared" si="21"/>
        <v>Growing</v>
      </c>
      <c r="R104" s="3">
        <f>IF(COUNTIFS($C$2:C104,C104,$J$2:J104,J104)=1,1,0)</f>
        <v>1</v>
      </c>
    </row>
    <row r="105" spans="1:18">
      <c r="A105" s="1">
        <v>44571</v>
      </c>
      <c r="B105" t="s">
        <v>18</v>
      </c>
      <c r="C105" t="s">
        <v>24</v>
      </c>
      <c r="D105">
        <v>19</v>
      </c>
      <c r="E105">
        <v>161.94999999999999</v>
      </c>
      <c r="F105" t="s">
        <v>14</v>
      </c>
      <c r="G105">
        <f t="shared" si="11"/>
        <v>2022</v>
      </c>
      <c r="H105" s="3" t="str">
        <f t="shared" si="12"/>
        <v>Jan</v>
      </c>
      <c r="I105" s="8">
        <f t="shared" si="13"/>
        <v>1</v>
      </c>
      <c r="J105" s="4">
        <f t="shared" si="14"/>
        <v>44562</v>
      </c>
      <c r="K105" s="3" t="str">
        <f t="shared" si="15"/>
        <v>2022-Jan</v>
      </c>
      <c r="L105" s="8">
        <f t="shared" si="16"/>
        <v>1214.3899999999999</v>
      </c>
      <c r="M105" s="8">
        <f t="shared" si="17"/>
        <v>821.22483333333321</v>
      </c>
      <c r="N105" s="6">
        <f t="shared" si="18"/>
        <v>1.4787546000902312</v>
      </c>
      <c r="O105" s="8">
        <f t="shared" si="19"/>
        <v>0</v>
      </c>
      <c r="P105" s="6">
        <f t="shared" si="20"/>
        <v>0</v>
      </c>
      <c r="Q105" s="3" t="str">
        <f t="shared" si="21"/>
        <v>No Growth</v>
      </c>
      <c r="R105" s="3">
        <f>IF(COUNTIFS($C$2:C105,C105,$J$2:J105,J105)=1,1,0)</f>
        <v>0</v>
      </c>
    </row>
    <row r="106" spans="1:18">
      <c r="A106" s="1">
        <v>44582</v>
      </c>
      <c r="B106" t="s">
        <v>6</v>
      </c>
      <c r="C106" t="s">
        <v>13</v>
      </c>
      <c r="D106">
        <v>9</v>
      </c>
      <c r="E106">
        <v>180.5</v>
      </c>
      <c r="F106" t="s">
        <v>11</v>
      </c>
      <c r="G106">
        <f t="shared" si="11"/>
        <v>2022</v>
      </c>
      <c r="H106" s="3" t="str">
        <f t="shared" si="12"/>
        <v>Jan</v>
      </c>
      <c r="I106" s="8">
        <f t="shared" si="13"/>
        <v>1</v>
      </c>
      <c r="J106" s="4">
        <f t="shared" si="14"/>
        <v>44562</v>
      </c>
      <c r="K106" s="3" t="str">
        <f t="shared" si="15"/>
        <v>2022-Jan</v>
      </c>
      <c r="L106" s="8">
        <f t="shared" si="16"/>
        <v>882.82999999999993</v>
      </c>
      <c r="M106" s="8">
        <f t="shared" si="17"/>
        <v>1896.1973863636363</v>
      </c>
      <c r="N106" s="6">
        <f t="shared" si="18"/>
        <v>0.46557916720527454</v>
      </c>
      <c r="O106" s="8">
        <f t="shared" si="19"/>
        <v>0</v>
      </c>
      <c r="P106" s="6">
        <f t="shared" si="20"/>
        <v>0</v>
      </c>
      <c r="Q106" s="3" t="str">
        <f t="shared" si="21"/>
        <v>No Growth</v>
      </c>
      <c r="R106" s="3">
        <f>IF(COUNTIFS($C$2:C106,C106,$J$2:J106,J106)=1,1,0)</f>
        <v>0</v>
      </c>
    </row>
    <row r="107" spans="1:18">
      <c r="A107" s="1">
        <v>44701</v>
      </c>
      <c r="B107" t="s">
        <v>17</v>
      </c>
      <c r="C107" t="s">
        <v>10</v>
      </c>
      <c r="D107">
        <v>18</v>
      </c>
      <c r="E107">
        <v>426.02</v>
      </c>
      <c r="F107" t="s">
        <v>14</v>
      </c>
      <c r="G107">
        <f t="shared" si="11"/>
        <v>2022</v>
      </c>
      <c r="H107" s="3" t="str">
        <f t="shared" si="12"/>
        <v>May</v>
      </c>
      <c r="I107" s="8">
        <f t="shared" si="13"/>
        <v>5</v>
      </c>
      <c r="J107" s="4">
        <f t="shared" si="14"/>
        <v>44682</v>
      </c>
      <c r="K107" s="3" t="str">
        <f t="shared" si="15"/>
        <v>2022-May</v>
      </c>
      <c r="L107" s="8">
        <f t="shared" si="16"/>
        <v>2645.1499999999996</v>
      </c>
      <c r="M107" s="8">
        <f t="shared" si="17"/>
        <v>764.83615384615382</v>
      </c>
      <c r="N107" s="6">
        <f t="shared" si="18"/>
        <v>3.4584531428048435</v>
      </c>
      <c r="O107" s="8">
        <f t="shared" si="19"/>
        <v>2185.4700000000003</v>
      </c>
      <c r="P107" s="6">
        <f t="shared" si="20"/>
        <v>0.21033461909795118</v>
      </c>
      <c r="Q107" s="3" t="str">
        <f t="shared" si="21"/>
        <v>Growing</v>
      </c>
      <c r="R107" s="3">
        <f>IF(COUNTIFS($C$2:C107,C107,$J$2:J107,J107)=1,1,0)</f>
        <v>0</v>
      </c>
    </row>
    <row r="108" spans="1:18">
      <c r="A108" s="1">
        <v>44751</v>
      </c>
      <c r="B108" t="s">
        <v>21</v>
      </c>
      <c r="C108" t="s">
        <v>19</v>
      </c>
      <c r="D108">
        <v>10</v>
      </c>
      <c r="E108">
        <v>101.77</v>
      </c>
      <c r="F108" t="s">
        <v>16</v>
      </c>
      <c r="G108">
        <f t="shared" si="11"/>
        <v>2022</v>
      </c>
      <c r="H108" s="3" t="str">
        <f t="shared" si="12"/>
        <v>Jul</v>
      </c>
      <c r="I108" s="8">
        <f t="shared" si="13"/>
        <v>7</v>
      </c>
      <c r="J108" s="4">
        <f t="shared" si="14"/>
        <v>44743</v>
      </c>
      <c r="K108" s="3" t="str">
        <f t="shared" si="15"/>
        <v>2022-Jul</v>
      </c>
      <c r="L108" s="8">
        <f t="shared" si="16"/>
        <v>1767.0500000000002</v>
      </c>
      <c r="M108" s="8">
        <f t="shared" si="17"/>
        <v>709.47177777777802</v>
      </c>
      <c r="N108" s="6">
        <f t="shared" si="18"/>
        <v>2.4906558024545955</v>
      </c>
      <c r="O108" s="8">
        <f t="shared" si="19"/>
        <v>1655.98</v>
      </c>
      <c r="P108" s="6">
        <f t="shared" si="20"/>
        <v>6.7072066087754775E-2</v>
      </c>
      <c r="Q108" s="3" t="str">
        <f t="shared" si="21"/>
        <v>Growing</v>
      </c>
      <c r="R108" s="3">
        <f>IF(COUNTIFS($C$2:C108,C108,$J$2:J108,J108)=1,1,0)</f>
        <v>0</v>
      </c>
    </row>
    <row r="109" spans="1:18">
      <c r="A109" s="1">
        <v>44731</v>
      </c>
      <c r="B109" t="s">
        <v>17</v>
      </c>
      <c r="C109" t="s">
        <v>19</v>
      </c>
      <c r="D109">
        <v>12</v>
      </c>
      <c r="E109">
        <v>132.47999999999999</v>
      </c>
      <c r="F109" t="s">
        <v>11</v>
      </c>
      <c r="G109">
        <f t="shared" si="11"/>
        <v>2022</v>
      </c>
      <c r="H109" s="3" t="str">
        <f t="shared" si="12"/>
        <v>Jun</v>
      </c>
      <c r="I109" s="8">
        <f t="shared" si="13"/>
        <v>6</v>
      </c>
      <c r="J109" s="4">
        <f t="shared" si="14"/>
        <v>44713</v>
      </c>
      <c r="K109" s="3" t="str">
        <f t="shared" si="15"/>
        <v>2022-Jun</v>
      </c>
      <c r="L109" s="8">
        <f t="shared" si="16"/>
        <v>1655.98</v>
      </c>
      <c r="M109" s="8">
        <f t="shared" si="17"/>
        <v>591.22648148148176</v>
      </c>
      <c r="N109" s="6">
        <f t="shared" si="18"/>
        <v>2.8009232533875736</v>
      </c>
      <c r="O109" s="8">
        <f t="shared" si="19"/>
        <v>1584.09</v>
      </c>
      <c r="P109" s="6">
        <f t="shared" si="20"/>
        <v>4.5382522457688708E-2</v>
      </c>
      <c r="Q109" s="3" t="str">
        <f t="shared" si="21"/>
        <v>Growing</v>
      </c>
      <c r="R109" s="3">
        <f>IF(COUNTIFS($C$2:C109,C109,$J$2:J109,J109)=1,1,0)</f>
        <v>0</v>
      </c>
    </row>
    <row r="110" spans="1:18">
      <c r="A110" s="1">
        <v>44712</v>
      </c>
      <c r="B110" t="s">
        <v>17</v>
      </c>
      <c r="C110" t="s">
        <v>7</v>
      </c>
      <c r="D110">
        <v>9</v>
      </c>
      <c r="E110">
        <v>82.8</v>
      </c>
      <c r="F110" t="s">
        <v>8</v>
      </c>
      <c r="G110">
        <f t="shared" si="11"/>
        <v>2022</v>
      </c>
      <c r="H110" s="3" t="str">
        <f t="shared" si="12"/>
        <v>May</v>
      </c>
      <c r="I110" s="8">
        <f t="shared" si="13"/>
        <v>5</v>
      </c>
      <c r="J110" s="4">
        <f t="shared" si="14"/>
        <v>44682</v>
      </c>
      <c r="K110" s="3" t="str">
        <f t="shared" si="15"/>
        <v>2022-May</v>
      </c>
      <c r="L110" s="8">
        <f t="shared" si="16"/>
        <v>459.62</v>
      </c>
      <c r="M110" s="8">
        <f t="shared" si="17"/>
        <v>1508.5328124999996</v>
      </c>
      <c r="N110" s="6">
        <f t="shared" si="18"/>
        <v>0.30468014761859885</v>
      </c>
      <c r="O110" s="8">
        <f t="shared" si="19"/>
        <v>574.2399999999999</v>
      </c>
      <c r="P110" s="6">
        <f t="shared" si="20"/>
        <v>-0.1996029534689327</v>
      </c>
      <c r="Q110" s="3" t="str">
        <f t="shared" si="21"/>
        <v>Degrowing</v>
      </c>
      <c r="R110" s="3">
        <f>IF(COUNTIFS($C$2:C110,C110,$J$2:J110,J110)=1,1,0)</f>
        <v>1</v>
      </c>
    </row>
    <row r="111" spans="1:18">
      <c r="A111" s="1">
        <v>44704</v>
      </c>
      <c r="B111" t="s">
        <v>17</v>
      </c>
      <c r="C111" t="s">
        <v>19</v>
      </c>
      <c r="D111">
        <v>1</v>
      </c>
      <c r="E111">
        <v>8.51</v>
      </c>
      <c r="F111" t="s">
        <v>11</v>
      </c>
      <c r="G111">
        <f t="shared" si="11"/>
        <v>2022</v>
      </c>
      <c r="H111" s="3" t="str">
        <f t="shared" si="12"/>
        <v>May</v>
      </c>
      <c r="I111" s="8">
        <f t="shared" si="13"/>
        <v>5</v>
      </c>
      <c r="J111" s="4">
        <f t="shared" si="14"/>
        <v>44682</v>
      </c>
      <c r="K111" s="3" t="str">
        <f t="shared" si="15"/>
        <v>2022-May</v>
      </c>
      <c r="L111" s="8">
        <f t="shared" si="16"/>
        <v>1584.09</v>
      </c>
      <c r="M111" s="8">
        <f t="shared" si="17"/>
        <v>709.47177777777802</v>
      </c>
      <c r="N111" s="6">
        <f t="shared" si="18"/>
        <v>2.2327738038597094</v>
      </c>
      <c r="O111" s="8">
        <f t="shared" si="19"/>
        <v>377.24</v>
      </c>
      <c r="P111" s="6">
        <f t="shared" si="20"/>
        <v>3.1991570353090868</v>
      </c>
      <c r="Q111" s="3" t="str">
        <f t="shared" si="21"/>
        <v>Growing</v>
      </c>
      <c r="R111" s="3">
        <f>IF(COUNTIFS($C$2:C111,C111,$J$2:J111,J111)=1,1,0)</f>
        <v>0</v>
      </c>
    </row>
    <row r="112" spans="1:18">
      <c r="A112" s="1">
        <v>44568</v>
      </c>
      <c r="B112" t="s">
        <v>15</v>
      </c>
      <c r="C112" t="s">
        <v>19</v>
      </c>
      <c r="D112">
        <v>11</v>
      </c>
      <c r="E112">
        <v>90.19</v>
      </c>
      <c r="F112" t="s">
        <v>16</v>
      </c>
      <c r="G112">
        <f t="shared" si="11"/>
        <v>2022</v>
      </c>
      <c r="H112" s="3" t="str">
        <f t="shared" si="12"/>
        <v>Jan</v>
      </c>
      <c r="I112" s="8">
        <f t="shared" si="13"/>
        <v>1</v>
      </c>
      <c r="J112" s="4">
        <f t="shared" si="14"/>
        <v>44562</v>
      </c>
      <c r="K112" s="3" t="str">
        <f t="shared" si="15"/>
        <v>2022-Jan</v>
      </c>
      <c r="L112" s="8">
        <f t="shared" si="16"/>
        <v>1368.74</v>
      </c>
      <c r="M112" s="8">
        <f t="shared" si="17"/>
        <v>1418.943555555556</v>
      </c>
      <c r="N112" s="6">
        <f t="shared" si="18"/>
        <v>0.9646190608787818</v>
      </c>
      <c r="O112" s="8">
        <f t="shared" si="19"/>
        <v>0</v>
      </c>
      <c r="P112" s="6">
        <f t="shared" si="20"/>
        <v>0</v>
      </c>
      <c r="Q112" s="3" t="str">
        <f t="shared" si="21"/>
        <v>No Growth</v>
      </c>
      <c r="R112" s="3">
        <f>IF(COUNTIFS($C$2:C112,C112,$J$2:J112,J112)=1,1,0)</f>
        <v>1</v>
      </c>
    </row>
    <row r="113" spans="1:18">
      <c r="A113" s="1">
        <v>44773</v>
      </c>
      <c r="B113" t="s">
        <v>18</v>
      </c>
      <c r="C113" t="s">
        <v>13</v>
      </c>
      <c r="D113">
        <v>6</v>
      </c>
      <c r="E113">
        <v>60.03</v>
      </c>
      <c r="F113" t="s">
        <v>14</v>
      </c>
      <c r="G113">
        <f t="shared" si="11"/>
        <v>2022</v>
      </c>
      <c r="H113" s="3" t="str">
        <f t="shared" si="12"/>
        <v>Jul</v>
      </c>
      <c r="I113" s="8">
        <f t="shared" si="13"/>
        <v>7</v>
      </c>
      <c r="J113" s="4">
        <f t="shared" si="14"/>
        <v>44743</v>
      </c>
      <c r="K113" s="3" t="str">
        <f t="shared" si="15"/>
        <v>2022-Jul</v>
      </c>
      <c r="L113" s="8">
        <f t="shared" si="16"/>
        <v>1653.05</v>
      </c>
      <c r="M113" s="8">
        <f t="shared" si="17"/>
        <v>842.75439393939394</v>
      </c>
      <c r="N113" s="6">
        <f t="shared" si="18"/>
        <v>1.9614848784981569</v>
      </c>
      <c r="O113" s="8">
        <f t="shared" si="19"/>
        <v>585.20999999999992</v>
      </c>
      <c r="P113" s="6">
        <f t="shared" si="20"/>
        <v>1.8247124963688253</v>
      </c>
      <c r="Q113" s="3" t="str">
        <f t="shared" si="21"/>
        <v>Growing</v>
      </c>
      <c r="R113" s="3">
        <f>IF(COUNTIFS($C$2:C113,C113,$J$2:J113,J113)=1,1,0)</f>
        <v>0</v>
      </c>
    </row>
    <row r="114" spans="1:18">
      <c r="A114" s="1">
        <v>44705</v>
      </c>
      <c r="B114" t="s">
        <v>18</v>
      </c>
      <c r="C114" t="s">
        <v>20</v>
      </c>
      <c r="D114">
        <v>8</v>
      </c>
      <c r="E114">
        <v>142.54</v>
      </c>
      <c r="F114" t="s">
        <v>22</v>
      </c>
      <c r="G114">
        <f t="shared" si="11"/>
        <v>2022</v>
      </c>
      <c r="H114" s="3" t="str">
        <f t="shared" si="12"/>
        <v>May</v>
      </c>
      <c r="I114" s="8">
        <f t="shared" si="13"/>
        <v>5</v>
      </c>
      <c r="J114" s="4">
        <f t="shared" si="14"/>
        <v>44682</v>
      </c>
      <c r="K114" s="3" t="str">
        <f t="shared" si="15"/>
        <v>2022-May</v>
      </c>
      <c r="L114" s="8">
        <f t="shared" si="16"/>
        <v>1280.45</v>
      </c>
      <c r="M114" s="8">
        <f t="shared" si="17"/>
        <v>1556.7479999999998</v>
      </c>
      <c r="N114" s="6">
        <f t="shared" si="18"/>
        <v>0.82251591137422386</v>
      </c>
      <c r="O114" s="8">
        <f t="shared" si="19"/>
        <v>740.37</v>
      </c>
      <c r="P114" s="6">
        <f t="shared" si="20"/>
        <v>0.72947310128719434</v>
      </c>
      <c r="Q114" s="3" t="str">
        <f t="shared" si="21"/>
        <v>Growing</v>
      </c>
      <c r="R114" s="3">
        <f>IF(COUNTIFS($C$2:C114,C114,$J$2:J114,J114)=1,1,0)</f>
        <v>0</v>
      </c>
    </row>
    <row r="115" spans="1:18">
      <c r="A115" s="1">
        <v>44674</v>
      </c>
      <c r="B115" t="s">
        <v>21</v>
      </c>
      <c r="C115" t="s">
        <v>10</v>
      </c>
      <c r="D115">
        <v>4</v>
      </c>
      <c r="E115">
        <v>96.7</v>
      </c>
      <c r="F115" t="s">
        <v>22</v>
      </c>
      <c r="G115">
        <f t="shared" si="11"/>
        <v>2022</v>
      </c>
      <c r="H115" s="3" t="str">
        <f t="shared" si="12"/>
        <v>Apr</v>
      </c>
      <c r="I115" s="8">
        <f t="shared" si="13"/>
        <v>4</v>
      </c>
      <c r="J115" s="4">
        <f t="shared" si="14"/>
        <v>44652</v>
      </c>
      <c r="K115" s="3" t="str">
        <f t="shared" si="15"/>
        <v>2022-Apr</v>
      </c>
      <c r="L115" s="8">
        <f t="shared" si="16"/>
        <v>2185.4700000000003</v>
      </c>
      <c r="M115" s="8">
        <f t="shared" si="17"/>
        <v>841.31976923076911</v>
      </c>
      <c r="N115" s="6">
        <f t="shared" si="18"/>
        <v>2.5976686628892689</v>
      </c>
      <c r="O115" s="8">
        <f t="shared" si="19"/>
        <v>274.01</v>
      </c>
      <c r="P115" s="6">
        <f t="shared" si="20"/>
        <v>6.9758767928177816</v>
      </c>
      <c r="Q115" s="3" t="str">
        <f t="shared" si="21"/>
        <v>Growing</v>
      </c>
      <c r="R115" s="3">
        <f>IF(COUNTIFS($C$2:C115,C115,$J$2:J115,J115)=1,1,0)</f>
        <v>0</v>
      </c>
    </row>
    <row r="116" spans="1:18">
      <c r="A116" s="1">
        <v>44638</v>
      </c>
      <c r="B116" t="s">
        <v>21</v>
      </c>
      <c r="C116" t="s">
        <v>13</v>
      </c>
      <c r="D116">
        <v>15</v>
      </c>
      <c r="E116">
        <v>151.63999999999999</v>
      </c>
      <c r="F116" t="s">
        <v>8</v>
      </c>
      <c r="G116">
        <f t="shared" si="11"/>
        <v>2022</v>
      </c>
      <c r="H116" s="3" t="str">
        <f t="shared" si="12"/>
        <v>Mar</v>
      </c>
      <c r="I116" s="8">
        <f t="shared" si="13"/>
        <v>3</v>
      </c>
      <c r="J116" s="4">
        <f t="shared" si="14"/>
        <v>44621</v>
      </c>
      <c r="K116" s="3" t="str">
        <f t="shared" si="15"/>
        <v>2022-Mar</v>
      </c>
      <c r="L116" s="8">
        <f t="shared" si="16"/>
        <v>522.87</v>
      </c>
      <c r="M116" s="8">
        <f t="shared" si="17"/>
        <v>3792.3947727272725</v>
      </c>
      <c r="N116" s="6">
        <f t="shared" si="18"/>
        <v>0.13787330468868406</v>
      </c>
      <c r="O116" s="8">
        <f t="shared" si="19"/>
        <v>738.18000000000006</v>
      </c>
      <c r="P116" s="6">
        <f t="shared" si="20"/>
        <v>-0.29167682679021384</v>
      </c>
      <c r="Q116" s="3" t="str">
        <f t="shared" si="21"/>
        <v>Degrowing</v>
      </c>
      <c r="R116" s="3">
        <f>IF(COUNTIFS($C$2:C116,C116,$J$2:J116,J116)=1,1,0)</f>
        <v>0</v>
      </c>
    </row>
    <row r="117" spans="1:18">
      <c r="A117" s="1">
        <v>44798</v>
      </c>
      <c r="B117" t="s">
        <v>9</v>
      </c>
      <c r="C117" t="s">
        <v>7</v>
      </c>
      <c r="D117">
        <v>15</v>
      </c>
      <c r="E117">
        <v>197.97</v>
      </c>
      <c r="F117" t="s">
        <v>11</v>
      </c>
      <c r="G117">
        <f t="shared" si="11"/>
        <v>2022</v>
      </c>
      <c r="H117" s="3" t="str">
        <f t="shared" si="12"/>
        <v>Aug</v>
      </c>
      <c r="I117" s="8">
        <f t="shared" si="13"/>
        <v>8</v>
      </c>
      <c r="J117" s="4">
        <f t="shared" si="14"/>
        <v>44774</v>
      </c>
      <c r="K117" s="3" t="str">
        <f t="shared" si="15"/>
        <v>2022-Aug</v>
      </c>
      <c r="L117" s="8">
        <f t="shared" si="16"/>
        <v>1020.76</v>
      </c>
      <c r="M117" s="8">
        <f t="shared" si="17"/>
        <v>1206.8262499999996</v>
      </c>
      <c r="N117" s="6">
        <f t="shared" si="18"/>
        <v>0.8458218405507838</v>
      </c>
      <c r="O117" s="8">
        <f t="shared" si="19"/>
        <v>537.31000000000006</v>
      </c>
      <c r="P117" s="6">
        <f t="shared" si="20"/>
        <v>0.89975991513279086</v>
      </c>
      <c r="Q117" s="3" t="str">
        <f t="shared" si="21"/>
        <v>Growing</v>
      </c>
      <c r="R117" s="3">
        <f>IF(COUNTIFS($C$2:C117,C117,$J$2:J117,J117)=1,1,0)</f>
        <v>0</v>
      </c>
    </row>
    <row r="118" spans="1:18">
      <c r="A118" s="1">
        <v>44624</v>
      </c>
      <c r="B118" t="s">
        <v>21</v>
      </c>
      <c r="C118" t="s">
        <v>7</v>
      </c>
      <c r="D118">
        <v>9</v>
      </c>
      <c r="E118">
        <v>182.35</v>
      </c>
      <c r="F118" t="s">
        <v>22</v>
      </c>
      <c r="G118">
        <f t="shared" si="11"/>
        <v>2022</v>
      </c>
      <c r="H118" s="3" t="str">
        <f t="shared" si="12"/>
        <v>Mar</v>
      </c>
      <c r="I118" s="8">
        <f t="shared" si="13"/>
        <v>3</v>
      </c>
      <c r="J118" s="4">
        <f t="shared" si="14"/>
        <v>44621</v>
      </c>
      <c r="K118" s="3" t="str">
        <f t="shared" si="15"/>
        <v>2022-Mar</v>
      </c>
      <c r="L118" s="8">
        <f t="shared" si="16"/>
        <v>1795.9</v>
      </c>
      <c r="M118" s="8">
        <f t="shared" si="17"/>
        <v>862.01874999999984</v>
      </c>
      <c r="N118" s="6">
        <f t="shared" si="18"/>
        <v>2.0833653560319894</v>
      </c>
      <c r="O118" s="8">
        <f t="shared" si="19"/>
        <v>837.85</v>
      </c>
      <c r="P118" s="6">
        <f t="shared" si="20"/>
        <v>1.1434624336098347</v>
      </c>
      <c r="Q118" s="3" t="str">
        <f t="shared" si="21"/>
        <v>Growing</v>
      </c>
      <c r="R118" s="3">
        <f>IF(COUNTIFS($C$2:C118,C118,$J$2:J118,J118)=1,1,0)</f>
        <v>0</v>
      </c>
    </row>
    <row r="119" spans="1:18">
      <c r="A119" s="1">
        <v>44644</v>
      </c>
      <c r="B119" t="s">
        <v>15</v>
      </c>
      <c r="C119" t="s">
        <v>7</v>
      </c>
      <c r="D119">
        <v>19</v>
      </c>
      <c r="E119">
        <v>443.56</v>
      </c>
      <c r="F119" t="s">
        <v>11</v>
      </c>
      <c r="G119">
        <f t="shared" si="11"/>
        <v>2022</v>
      </c>
      <c r="H119" s="3" t="str">
        <f t="shared" si="12"/>
        <v>Mar</v>
      </c>
      <c r="I119" s="8">
        <f t="shared" si="13"/>
        <v>3</v>
      </c>
      <c r="J119" s="4">
        <f t="shared" si="14"/>
        <v>44621</v>
      </c>
      <c r="K119" s="3" t="str">
        <f t="shared" si="15"/>
        <v>2022-Mar</v>
      </c>
      <c r="L119" s="8">
        <f t="shared" si="16"/>
        <v>1795.9</v>
      </c>
      <c r="M119" s="8">
        <f t="shared" si="17"/>
        <v>862.01874999999984</v>
      </c>
      <c r="N119" s="6">
        <f t="shared" si="18"/>
        <v>2.0833653560319894</v>
      </c>
      <c r="O119" s="8">
        <f t="shared" si="19"/>
        <v>837.85</v>
      </c>
      <c r="P119" s="6">
        <f t="shared" si="20"/>
        <v>1.1434624336098347</v>
      </c>
      <c r="Q119" s="3" t="str">
        <f t="shared" si="21"/>
        <v>Growing</v>
      </c>
      <c r="R119" s="3">
        <f>IF(COUNTIFS($C$2:C119,C119,$J$2:J119,J119)=1,1,0)</f>
        <v>0</v>
      </c>
    </row>
    <row r="120" spans="1:18">
      <c r="A120" s="1">
        <v>44647</v>
      </c>
      <c r="B120" t="s">
        <v>9</v>
      </c>
      <c r="C120" t="s">
        <v>23</v>
      </c>
      <c r="D120">
        <v>9</v>
      </c>
      <c r="E120">
        <v>89.01</v>
      </c>
      <c r="F120" t="s">
        <v>11</v>
      </c>
      <c r="G120">
        <f t="shared" si="11"/>
        <v>2022</v>
      </c>
      <c r="H120" s="3" t="str">
        <f t="shared" si="12"/>
        <v>Mar</v>
      </c>
      <c r="I120" s="8">
        <f t="shared" si="13"/>
        <v>3</v>
      </c>
      <c r="J120" s="4">
        <f t="shared" si="14"/>
        <v>44621</v>
      </c>
      <c r="K120" s="3" t="str">
        <f t="shared" si="15"/>
        <v>2022-Mar</v>
      </c>
      <c r="L120" s="8">
        <f t="shared" si="16"/>
        <v>1922.5800000000002</v>
      </c>
      <c r="M120" s="8">
        <f t="shared" si="17"/>
        <v>841.79683636363654</v>
      </c>
      <c r="N120" s="6">
        <f t="shared" si="18"/>
        <v>2.2839002440364253</v>
      </c>
      <c r="O120" s="8">
        <f t="shared" si="19"/>
        <v>1770.3600000000001</v>
      </c>
      <c r="P120" s="6">
        <f t="shared" si="20"/>
        <v>8.5982512031451241E-2</v>
      </c>
      <c r="Q120" s="3" t="str">
        <f t="shared" si="21"/>
        <v>Growing</v>
      </c>
      <c r="R120" s="3">
        <f>IF(COUNTIFS($C$2:C120,C120,$J$2:J120,J120)=1,1,0)</f>
        <v>0</v>
      </c>
    </row>
    <row r="121" spans="1:18">
      <c r="A121" s="1">
        <v>44699</v>
      </c>
      <c r="B121" t="s">
        <v>18</v>
      </c>
      <c r="C121" t="s">
        <v>24</v>
      </c>
      <c r="D121">
        <v>1</v>
      </c>
      <c r="E121">
        <v>10.32</v>
      </c>
      <c r="F121" t="s">
        <v>16</v>
      </c>
      <c r="G121">
        <f t="shared" si="11"/>
        <v>2022</v>
      </c>
      <c r="H121" s="3" t="str">
        <f t="shared" si="12"/>
        <v>May</v>
      </c>
      <c r="I121" s="8">
        <f t="shared" si="13"/>
        <v>5</v>
      </c>
      <c r="J121" s="4">
        <f t="shared" si="14"/>
        <v>44682</v>
      </c>
      <c r="K121" s="3" t="str">
        <f t="shared" si="15"/>
        <v>2022-May</v>
      </c>
      <c r="L121" s="8">
        <f t="shared" si="16"/>
        <v>791.69999999999993</v>
      </c>
      <c r="M121" s="8">
        <f t="shared" si="17"/>
        <v>1094.9664444444443</v>
      </c>
      <c r="N121" s="6">
        <f t="shared" si="18"/>
        <v>0.72303585558887751</v>
      </c>
      <c r="O121" s="8">
        <f t="shared" si="19"/>
        <v>865.70999999999992</v>
      </c>
      <c r="P121" s="6">
        <f t="shared" si="20"/>
        <v>-8.5490522230308064E-2</v>
      </c>
      <c r="Q121" s="3" t="str">
        <f t="shared" si="21"/>
        <v>Degrowing</v>
      </c>
      <c r="R121" s="3">
        <f>IF(COUNTIFS($C$2:C121,C121,$J$2:J121,J121)=1,1,0)</f>
        <v>0</v>
      </c>
    </row>
    <row r="122" spans="1:18">
      <c r="A122" s="1">
        <v>44695</v>
      </c>
      <c r="B122" t="s">
        <v>21</v>
      </c>
      <c r="C122" t="s">
        <v>20</v>
      </c>
      <c r="D122">
        <v>20</v>
      </c>
      <c r="E122">
        <v>414.06</v>
      </c>
      <c r="F122" t="s">
        <v>16</v>
      </c>
      <c r="G122">
        <f t="shared" si="11"/>
        <v>2022</v>
      </c>
      <c r="H122" s="3" t="str">
        <f t="shared" si="12"/>
        <v>May</v>
      </c>
      <c r="I122" s="8">
        <f t="shared" si="13"/>
        <v>5</v>
      </c>
      <c r="J122" s="4">
        <f t="shared" si="14"/>
        <v>44682</v>
      </c>
      <c r="K122" s="3" t="str">
        <f t="shared" si="15"/>
        <v>2022-May</v>
      </c>
      <c r="L122" s="8">
        <f t="shared" si="16"/>
        <v>1280.45</v>
      </c>
      <c r="M122" s="8">
        <f t="shared" si="17"/>
        <v>1556.7479999999998</v>
      </c>
      <c r="N122" s="6">
        <f t="shared" si="18"/>
        <v>0.82251591137422386</v>
      </c>
      <c r="O122" s="8">
        <f t="shared" si="19"/>
        <v>740.37</v>
      </c>
      <c r="P122" s="6">
        <f t="shared" si="20"/>
        <v>0.72947310128719434</v>
      </c>
      <c r="Q122" s="3" t="str">
        <f t="shared" si="21"/>
        <v>Growing</v>
      </c>
      <c r="R122" s="3">
        <f>IF(COUNTIFS($C$2:C122,C122,$J$2:J122,J122)=1,1,0)</f>
        <v>0</v>
      </c>
    </row>
    <row r="123" spans="1:18">
      <c r="A123" s="1">
        <v>44600</v>
      </c>
      <c r="B123" t="s">
        <v>12</v>
      </c>
      <c r="C123" t="s">
        <v>20</v>
      </c>
      <c r="D123">
        <v>10</v>
      </c>
      <c r="E123">
        <v>159.21</v>
      </c>
      <c r="F123" t="s">
        <v>8</v>
      </c>
      <c r="G123">
        <f t="shared" si="11"/>
        <v>2022</v>
      </c>
      <c r="H123" s="3" t="str">
        <f t="shared" si="12"/>
        <v>Feb</v>
      </c>
      <c r="I123" s="8">
        <f t="shared" si="13"/>
        <v>2</v>
      </c>
      <c r="J123" s="4">
        <f t="shared" si="14"/>
        <v>44593</v>
      </c>
      <c r="K123" s="3" t="str">
        <f t="shared" si="15"/>
        <v>2022-Feb</v>
      </c>
      <c r="L123" s="8">
        <f t="shared" si="16"/>
        <v>1484.3899999999999</v>
      </c>
      <c r="M123" s="8">
        <f t="shared" si="17"/>
        <v>1111.962857142857</v>
      </c>
      <c r="N123" s="6">
        <f t="shared" si="18"/>
        <v>1.3349276825793257</v>
      </c>
      <c r="O123" s="8">
        <f t="shared" si="19"/>
        <v>680.2299999999999</v>
      </c>
      <c r="P123" s="6">
        <f t="shared" si="20"/>
        <v>1.1821883774605648</v>
      </c>
      <c r="Q123" s="3" t="str">
        <f t="shared" si="21"/>
        <v>Growing</v>
      </c>
      <c r="R123" s="3">
        <f>IF(COUNTIFS($C$2:C123,C123,$J$2:J123,J123)=1,1,0)</f>
        <v>1</v>
      </c>
    </row>
    <row r="124" spans="1:18">
      <c r="A124" s="1">
        <v>44612</v>
      </c>
      <c r="B124" t="s">
        <v>17</v>
      </c>
      <c r="C124" t="s">
        <v>7</v>
      </c>
      <c r="D124">
        <v>18</v>
      </c>
      <c r="E124">
        <v>195.1</v>
      </c>
      <c r="F124" t="s">
        <v>11</v>
      </c>
      <c r="G124">
        <f t="shared" si="11"/>
        <v>2022</v>
      </c>
      <c r="H124" s="3" t="str">
        <f t="shared" si="12"/>
        <v>Feb</v>
      </c>
      <c r="I124" s="8">
        <f t="shared" si="13"/>
        <v>2</v>
      </c>
      <c r="J124" s="4">
        <f t="shared" si="14"/>
        <v>44593</v>
      </c>
      <c r="K124" s="3" t="str">
        <f t="shared" si="15"/>
        <v>2022-Feb</v>
      </c>
      <c r="L124" s="8">
        <f t="shared" si="16"/>
        <v>837.85</v>
      </c>
      <c r="M124" s="8">
        <f t="shared" si="17"/>
        <v>862.01874999999984</v>
      </c>
      <c r="N124" s="6">
        <f t="shared" si="18"/>
        <v>0.97196261682243013</v>
      </c>
      <c r="O124" s="8">
        <f t="shared" si="19"/>
        <v>656.7700000000001</v>
      </c>
      <c r="P124" s="6">
        <f t="shared" si="20"/>
        <v>0.27571295887449165</v>
      </c>
      <c r="Q124" s="3" t="str">
        <f t="shared" si="21"/>
        <v>Growing</v>
      </c>
      <c r="R124" s="3">
        <f>IF(COUNTIFS($C$2:C124,C124,$J$2:J124,J124)=1,1,0)</f>
        <v>0</v>
      </c>
    </row>
    <row r="125" spans="1:18">
      <c r="A125" s="1">
        <v>44794</v>
      </c>
      <c r="B125" t="s">
        <v>18</v>
      </c>
      <c r="C125" t="s">
        <v>24</v>
      </c>
      <c r="D125">
        <v>19</v>
      </c>
      <c r="E125">
        <v>386.61</v>
      </c>
      <c r="F125" t="s">
        <v>16</v>
      </c>
      <c r="G125">
        <f t="shared" si="11"/>
        <v>2022</v>
      </c>
      <c r="H125" s="3" t="str">
        <f t="shared" si="12"/>
        <v>Aug</v>
      </c>
      <c r="I125" s="8">
        <f t="shared" si="13"/>
        <v>8</v>
      </c>
      <c r="J125" s="4">
        <f t="shared" si="14"/>
        <v>44774</v>
      </c>
      <c r="K125" s="3" t="str">
        <f t="shared" si="15"/>
        <v>2022-Aug</v>
      </c>
      <c r="L125" s="8">
        <f t="shared" si="16"/>
        <v>896.81</v>
      </c>
      <c r="M125" s="8">
        <f t="shared" si="17"/>
        <v>1094.9664444444443</v>
      </c>
      <c r="N125" s="6">
        <f t="shared" si="18"/>
        <v>0.81902966483600015</v>
      </c>
      <c r="O125" s="8">
        <f t="shared" si="19"/>
        <v>874.87</v>
      </c>
      <c r="P125" s="6">
        <f t="shared" si="20"/>
        <v>2.5078011590293346E-2</v>
      </c>
      <c r="Q125" s="3" t="str">
        <f t="shared" si="21"/>
        <v>Growing</v>
      </c>
      <c r="R125" s="3">
        <f>IF(COUNTIFS($C$2:C125,C125,$J$2:J125,J125)=1,1,0)</f>
        <v>1</v>
      </c>
    </row>
    <row r="126" spans="1:18">
      <c r="A126" s="1">
        <v>44770</v>
      </c>
      <c r="B126" t="s">
        <v>15</v>
      </c>
      <c r="C126" t="s">
        <v>13</v>
      </c>
      <c r="D126">
        <v>1</v>
      </c>
      <c r="E126">
        <v>22.99</v>
      </c>
      <c r="F126" t="s">
        <v>16</v>
      </c>
      <c r="G126">
        <f t="shared" si="11"/>
        <v>2022</v>
      </c>
      <c r="H126" s="3" t="str">
        <f t="shared" si="12"/>
        <v>Jul</v>
      </c>
      <c r="I126" s="8">
        <f t="shared" si="13"/>
        <v>7</v>
      </c>
      <c r="J126" s="4">
        <f t="shared" si="14"/>
        <v>44743</v>
      </c>
      <c r="K126" s="3" t="str">
        <f t="shared" si="15"/>
        <v>2022-Jul</v>
      </c>
      <c r="L126" s="8">
        <f t="shared" si="16"/>
        <v>1653.05</v>
      </c>
      <c r="M126" s="8">
        <f t="shared" si="17"/>
        <v>842.75439393939394</v>
      </c>
      <c r="N126" s="6">
        <f t="shared" si="18"/>
        <v>1.9614848784981569</v>
      </c>
      <c r="O126" s="8">
        <f t="shared" si="19"/>
        <v>585.20999999999992</v>
      </c>
      <c r="P126" s="6">
        <f t="shared" si="20"/>
        <v>1.8247124963688253</v>
      </c>
      <c r="Q126" s="3" t="str">
        <f t="shared" si="21"/>
        <v>Growing</v>
      </c>
      <c r="R126" s="3">
        <f>IF(COUNTIFS($C$2:C126,C126,$J$2:J126,J126)=1,1,0)</f>
        <v>0</v>
      </c>
    </row>
    <row r="127" spans="1:18">
      <c r="A127" s="1">
        <v>44710</v>
      </c>
      <c r="B127" t="s">
        <v>12</v>
      </c>
      <c r="C127" t="s">
        <v>19</v>
      </c>
      <c r="D127">
        <v>17</v>
      </c>
      <c r="E127">
        <v>290.44</v>
      </c>
      <c r="F127" t="s">
        <v>14</v>
      </c>
      <c r="G127">
        <f t="shared" si="11"/>
        <v>2022</v>
      </c>
      <c r="H127" s="3" t="str">
        <f t="shared" si="12"/>
        <v>May</v>
      </c>
      <c r="I127" s="8">
        <f t="shared" si="13"/>
        <v>5</v>
      </c>
      <c r="J127" s="4">
        <f t="shared" si="14"/>
        <v>44682</v>
      </c>
      <c r="K127" s="3" t="str">
        <f t="shared" si="15"/>
        <v>2022-May</v>
      </c>
      <c r="L127" s="8">
        <f t="shared" si="16"/>
        <v>1584.09</v>
      </c>
      <c r="M127" s="8">
        <f t="shared" si="17"/>
        <v>709.47177777777802</v>
      </c>
      <c r="N127" s="6">
        <f t="shared" si="18"/>
        <v>2.2327738038597094</v>
      </c>
      <c r="O127" s="8">
        <f t="shared" si="19"/>
        <v>377.24</v>
      </c>
      <c r="P127" s="6">
        <f t="shared" si="20"/>
        <v>3.1991570353090868</v>
      </c>
      <c r="Q127" s="3" t="str">
        <f t="shared" si="21"/>
        <v>Growing</v>
      </c>
      <c r="R127" s="3">
        <f>IF(COUNTIFS($C$2:C127,C127,$J$2:J127,J127)=1,1,0)</f>
        <v>0</v>
      </c>
    </row>
    <row r="128" spans="1:18">
      <c r="A128" s="1">
        <v>44700</v>
      </c>
      <c r="B128" t="s">
        <v>6</v>
      </c>
      <c r="C128" t="s">
        <v>24</v>
      </c>
      <c r="D128">
        <v>5</v>
      </c>
      <c r="E128">
        <v>79.459999999999994</v>
      </c>
      <c r="F128" t="s">
        <v>22</v>
      </c>
      <c r="G128">
        <f t="shared" si="11"/>
        <v>2022</v>
      </c>
      <c r="H128" s="3" t="str">
        <f t="shared" si="12"/>
        <v>May</v>
      </c>
      <c r="I128" s="8">
        <f t="shared" si="13"/>
        <v>5</v>
      </c>
      <c r="J128" s="4">
        <f t="shared" si="14"/>
        <v>44682</v>
      </c>
      <c r="K128" s="3" t="str">
        <f t="shared" si="15"/>
        <v>2022-May</v>
      </c>
      <c r="L128" s="8">
        <f t="shared" si="16"/>
        <v>791.69999999999993</v>
      </c>
      <c r="M128" s="8">
        <f t="shared" si="17"/>
        <v>1094.9664444444443</v>
      </c>
      <c r="N128" s="6">
        <f t="shared" si="18"/>
        <v>0.72303585558887751</v>
      </c>
      <c r="O128" s="8">
        <f t="shared" si="19"/>
        <v>865.70999999999992</v>
      </c>
      <c r="P128" s="6">
        <f t="shared" si="20"/>
        <v>-8.5490522230308064E-2</v>
      </c>
      <c r="Q128" s="3" t="str">
        <f t="shared" si="21"/>
        <v>Degrowing</v>
      </c>
      <c r="R128" s="3">
        <f>IF(COUNTIFS($C$2:C128,C128,$J$2:J128,J128)=1,1,0)</f>
        <v>0</v>
      </c>
    </row>
    <row r="129" spans="1:18">
      <c r="A129" s="1">
        <v>44787</v>
      </c>
      <c r="B129" t="s">
        <v>17</v>
      </c>
      <c r="C129" t="s">
        <v>10</v>
      </c>
      <c r="D129">
        <v>2</v>
      </c>
      <c r="E129">
        <v>48.19</v>
      </c>
      <c r="F129" t="s">
        <v>14</v>
      </c>
      <c r="G129">
        <f t="shared" si="11"/>
        <v>2022</v>
      </c>
      <c r="H129" s="3" t="str">
        <f t="shared" si="12"/>
        <v>Aug</v>
      </c>
      <c r="I129" s="8">
        <f t="shared" si="13"/>
        <v>8</v>
      </c>
      <c r="J129" s="4">
        <f t="shared" si="14"/>
        <v>44774</v>
      </c>
      <c r="K129" s="3" t="str">
        <f t="shared" si="15"/>
        <v>2022-Aug</v>
      </c>
      <c r="L129" s="8">
        <f t="shared" si="16"/>
        <v>1721.52</v>
      </c>
      <c r="M129" s="8">
        <f t="shared" si="17"/>
        <v>841.31976923076911</v>
      </c>
      <c r="N129" s="6">
        <f t="shared" si="18"/>
        <v>2.046213654974506</v>
      </c>
      <c r="O129" s="8">
        <f t="shared" si="19"/>
        <v>1166.76</v>
      </c>
      <c r="P129" s="6">
        <f t="shared" si="20"/>
        <v>0.47547053378586857</v>
      </c>
      <c r="Q129" s="3" t="str">
        <f t="shared" si="21"/>
        <v>Growing</v>
      </c>
      <c r="R129" s="3">
        <f>IF(COUNTIFS($C$2:C129,C129,$J$2:J129,J129)=1,1,0)</f>
        <v>0</v>
      </c>
    </row>
    <row r="130" spans="1:18">
      <c r="A130" s="1">
        <v>44571</v>
      </c>
      <c r="B130" t="s">
        <v>12</v>
      </c>
      <c r="C130" t="s">
        <v>20</v>
      </c>
      <c r="D130">
        <v>19</v>
      </c>
      <c r="E130">
        <v>166.83</v>
      </c>
      <c r="F130" t="s">
        <v>22</v>
      </c>
      <c r="G130">
        <f t="shared" si="11"/>
        <v>2022</v>
      </c>
      <c r="H130" s="3" t="str">
        <f t="shared" si="12"/>
        <v>Jan</v>
      </c>
      <c r="I130" s="8">
        <f t="shared" si="13"/>
        <v>1</v>
      </c>
      <c r="J130" s="4">
        <f t="shared" si="14"/>
        <v>44562</v>
      </c>
      <c r="K130" s="3" t="str">
        <f t="shared" si="15"/>
        <v>2022-Jan</v>
      </c>
      <c r="L130" s="8">
        <f t="shared" si="16"/>
        <v>680.2299999999999</v>
      </c>
      <c r="M130" s="8">
        <f t="shared" si="17"/>
        <v>1556.7479999999998</v>
      </c>
      <c r="N130" s="6">
        <f t="shared" si="18"/>
        <v>0.43695575648724133</v>
      </c>
      <c r="O130" s="8">
        <f t="shared" si="19"/>
        <v>0</v>
      </c>
      <c r="P130" s="6">
        <f t="shared" si="20"/>
        <v>0</v>
      </c>
      <c r="Q130" s="3" t="str">
        <f t="shared" si="21"/>
        <v>No Growth</v>
      </c>
      <c r="R130" s="3">
        <f>IF(COUNTIFS($C$2:C130,C130,$J$2:J130,J130)=1,1,0)</f>
        <v>0</v>
      </c>
    </row>
    <row r="131" spans="1:18">
      <c r="A131" s="1">
        <v>44654</v>
      </c>
      <c r="B131" t="s">
        <v>15</v>
      </c>
      <c r="C131" t="s">
        <v>23</v>
      </c>
      <c r="D131">
        <v>3</v>
      </c>
      <c r="E131">
        <v>40.32</v>
      </c>
      <c r="F131" t="s">
        <v>16</v>
      </c>
      <c r="G131">
        <f t="shared" ref="G131:G194" si="22">YEAR(A131)</f>
        <v>2022</v>
      </c>
      <c r="H131" s="3" t="str">
        <f t="shared" ref="H131:H194" si="23">TEXT(A131,"mmm")</f>
        <v>Apr</v>
      </c>
      <c r="I131" s="8">
        <f t="shared" ref="I131:I194" si="24">MONTH(A131)</f>
        <v>4</v>
      </c>
      <c r="J131" s="4">
        <f t="shared" ref="J131:J194" si="25">DATE(YEAR(A131),MONTH(A131),1)</f>
        <v>44652</v>
      </c>
      <c r="K131" s="3" t="str">
        <f t="shared" ref="K131:K194" si="26">TEXT(J131,"yyyy-mmm")</f>
        <v>2022-Apr</v>
      </c>
      <c r="L131" s="8">
        <f t="shared" ref="L131:L194" si="27">SUMIFS($E:$E,$C:$C,$C131,$J:$J,$J131)</f>
        <v>1623.23</v>
      </c>
      <c r="M131" s="8">
        <f t="shared" ref="M131:M194" si="28">AVERAGEIFS($E:$E,$C:$C,$C131)*7/COUNTIFS($C:$C,$C131,$I:$I,$I131)*6</f>
        <v>1402.9947272727277</v>
      </c>
      <c r="N131" s="6">
        <f t="shared" ref="N131:N194" si="29">IFERROR(L131/M131,0)</f>
        <v>1.156975125028008</v>
      </c>
      <c r="O131" s="8">
        <f t="shared" ref="O131:O194" si="30">SUMIFS($E:$E,$C:$C,$C131,$J:$J,EDATE(J131,-1))</f>
        <v>1922.5800000000002</v>
      </c>
      <c r="P131" s="6">
        <f t="shared" ref="P131:P194" si="31">IFERROR((L131-O131)/O131,0)</f>
        <v>-0.15570223345712539</v>
      </c>
      <c r="Q131" s="3" t="str">
        <f t="shared" ref="Q131:Q194" si="32">IF(P131&gt;0,"Growing",IF(P131&lt;0,"Degrowing","No Growth"))</f>
        <v>Degrowing</v>
      </c>
      <c r="R131" s="3">
        <f>IF(COUNTIFS($C$2:C131,C131,$J$2:J131,J131)=1,1,0)</f>
        <v>0</v>
      </c>
    </row>
    <row r="132" spans="1:18">
      <c r="A132" s="1">
        <v>44739</v>
      </c>
      <c r="B132" t="s">
        <v>21</v>
      </c>
      <c r="C132" t="s">
        <v>23</v>
      </c>
      <c r="D132">
        <v>15</v>
      </c>
      <c r="E132">
        <v>176.45</v>
      </c>
      <c r="F132" t="s">
        <v>16</v>
      </c>
      <c r="G132">
        <f t="shared" si="22"/>
        <v>2022</v>
      </c>
      <c r="H132" s="3" t="str">
        <f t="shared" si="23"/>
        <v>Jun</v>
      </c>
      <c r="I132" s="8">
        <f t="shared" si="24"/>
        <v>6</v>
      </c>
      <c r="J132" s="4">
        <f t="shared" si="25"/>
        <v>44713</v>
      </c>
      <c r="K132" s="3" t="str">
        <f t="shared" si="26"/>
        <v>2022-Jun</v>
      </c>
      <c r="L132" s="8">
        <f t="shared" si="27"/>
        <v>2252.73</v>
      </c>
      <c r="M132" s="8">
        <f t="shared" si="28"/>
        <v>765.26985123966961</v>
      </c>
      <c r="N132" s="6">
        <f t="shared" si="29"/>
        <v>2.9437067151551526</v>
      </c>
      <c r="O132" s="8">
        <f t="shared" si="30"/>
        <v>185.17000000000002</v>
      </c>
      <c r="P132" s="6">
        <f t="shared" si="31"/>
        <v>11.165739590646432</v>
      </c>
      <c r="Q132" s="3" t="str">
        <f t="shared" si="32"/>
        <v>Growing</v>
      </c>
      <c r="R132" s="3">
        <f>IF(COUNTIFS($C$2:C132,C132,$J$2:J132,J132)=1,1,0)</f>
        <v>0</v>
      </c>
    </row>
    <row r="133" spans="1:18">
      <c r="A133" s="1">
        <v>44646</v>
      </c>
      <c r="B133" t="s">
        <v>9</v>
      </c>
      <c r="C133" t="s">
        <v>10</v>
      </c>
      <c r="D133">
        <v>1</v>
      </c>
      <c r="E133">
        <v>9.4</v>
      </c>
      <c r="F133" t="s">
        <v>14</v>
      </c>
      <c r="G133">
        <f t="shared" si="22"/>
        <v>2022</v>
      </c>
      <c r="H133" s="3" t="str">
        <f t="shared" si="23"/>
        <v>Mar</v>
      </c>
      <c r="I133" s="8">
        <f t="shared" si="24"/>
        <v>3</v>
      </c>
      <c r="J133" s="4">
        <f t="shared" si="25"/>
        <v>44621</v>
      </c>
      <c r="K133" s="3" t="str">
        <f t="shared" si="26"/>
        <v>2022-Mar</v>
      </c>
      <c r="L133" s="8">
        <f t="shared" si="27"/>
        <v>274.01</v>
      </c>
      <c r="M133" s="8">
        <f t="shared" si="28"/>
        <v>2804.3992307692306</v>
      </c>
      <c r="N133" s="6">
        <f t="shared" si="29"/>
        <v>9.770720124068806E-2</v>
      </c>
      <c r="O133" s="8">
        <f t="shared" si="30"/>
        <v>1170.8000000000002</v>
      </c>
      <c r="P133" s="6">
        <f t="shared" si="31"/>
        <v>-0.76596344379911174</v>
      </c>
      <c r="Q133" s="3" t="str">
        <f t="shared" si="32"/>
        <v>Degrowing</v>
      </c>
      <c r="R133" s="3">
        <f>IF(COUNTIFS($C$2:C133,C133,$J$2:J133,J133)=1,1,0)</f>
        <v>0</v>
      </c>
    </row>
    <row r="134" spans="1:18">
      <c r="A134" s="1">
        <v>44590</v>
      </c>
      <c r="B134" t="s">
        <v>21</v>
      </c>
      <c r="C134" t="s">
        <v>23</v>
      </c>
      <c r="D134">
        <v>11</v>
      </c>
      <c r="E134">
        <v>176.73</v>
      </c>
      <c r="F134" t="s">
        <v>8</v>
      </c>
      <c r="G134">
        <f t="shared" si="22"/>
        <v>2022</v>
      </c>
      <c r="H134" s="3" t="str">
        <f t="shared" si="23"/>
        <v>Jan</v>
      </c>
      <c r="I134" s="8">
        <f t="shared" si="24"/>
        <v>1</v>
      </c>
      <c r="J134" s="4">
        <f t="shared" si="25"/>
        <v>44562</v>
      </c>
      <c r="K134" s="3" t="str">
        <f t="shared" si="26"/>
        <v>2022-Jan</v>
      </c>
      <c r="L134" s="8">
        <f t="shared" si="27"/>
        <v>241.89999999999998</v>
      </c>
      <c r="M134" s="8">
        <f t="shared" si="28"/>
        <v>4208.9841818181831</v>
      </c>
      <c r="N134" s="6">
        <f t="shared" si="29"/>
        <v>5.7472299621592976E-2</v>
      </c>
      <c r="O134" s="8">
        <f t="shared" si="30"/>
        <v>0</v>
      </c>
      <c r="P134" s="6">
        <f t="shared" si="31"/>
        <v>0</v>
      </c>
      <c r="Q134" s="3" t="str">
        <f t="shared" si="32"/>
        <v>No Growth</v>
      </c>
      <c r="R134" s="3">
        <f>IF(COUNTIFS($C$2:C134,C134,$J$2:J134,J134)=1,1,0)</f>
        <v>1</v>
      </c>
    </row>
    <row r="135" spans="1:18">
      <c r="A135" s="1">
        <v>44630</v>
      </c>
      <c r="B135" t="s">
        <v>6</v>
      </c>
      <c r="C135" t="s">
        <v>7</v>
      </c>
      <c r="D135">
        <v>16</v>
      </c>
      <c r="E135">
        <v>235.83</v>
      </c>
      <c r="F135" t="s">
        <v>11</v>
      </c>
      <c r="G135">
        <f t="shared" si="22"/>
        <v>2022</v>
      </c>
      <c r="H135" s="3" t="str">
        <f t="shared" si="23"/>
        <v>Mar</v>
      </c>
      <c r="I135" s="8">
        <f t="shared" si="24"/>
        <v>3</v>
      </c>
      <c r="J135" s="4">
        <f t="shared" si="25"/>
        <v>44621</v>
      </c>
      <c r="K135" s="3" t="str">
        <f t="shared" si="26"/>
        <v>2022-Mar</v>
      </c>
      <c r="L135" s="8">
        <f t="shared" si="27"/>
        <v>1795.9</v>
      </c>
      <c r="M135" s="8">
        <f t="shared" si="28"/>
        <v>862.01874999999984</v>
      </c>
      <c r="N135" s="6">
        <f t="shared" si="29"/>
        <v>2.0833653560319894</v>
      </c>
      <c r="O135" s="8">
        <f t="shared" si="30"/>
        <v>837.85</v>
      </c>
      <c r="P135" s="6">
        <f t="shared" si="31"/>
        <v>1.1434624336098347</v>
      </c>
      <c r="Q135" s="3" t="str">
        <f t="shared" si="32"/>
        <v>Growing</v>
      </c>
      <c r="R135" s="3">
        <f>IF(COUNTIFS($C$2:C135,C135,$J$2:J135,J135)=1,1,0)</f>
        <v>0</v>
      </c>
    </row>
    <row r="136" spans="1:18">
      <c r="A136" s="1">
        <v>44600</v>
      </c>
      <c r="B136" t="s">
        <v>15</v>
      </c>
      <c r="C136" t="s">
        <v>24</v>
      </c>
      <c r="D136">
        <v>11</v>
      </c>
      <c r="E136">
        <v>106.76</v>
      </c>
      <c r="F136" t="s">
        <v>11</v>
      </c>
      <c r="G136">
        <f t="shared" si="22"/>
        <v>2022</v>
      </c>
      <c r="H136" s="3" t="str">
        <f t="shared" si="23"/>
        <v>Feb</v>
      </c>
      <c r="I136" s="8">
        <f t="shared" si="24"/>
        <v>2</v>
      </c>
      <c r="J136" s="4">
        <f t="shared" si="25"/>
        <v>44593</v>
      </c>
      <c r="K136" s="3" t="str">
        <f t="shared" si="26"/>
        <v>2022-Feb</v>
      </c>
      <c r="L136" s="8">
        <f t="shared" si="27"/>
        <v>930.81000000000006</v>
      </c>
      <c r="M136" s="8">
        <f t="shared" si="28"/>
        <v>1094.9664444444443</v>
      </c>
      <c r="N136" s="6">
        <f t="shared" si="29"/>
        <v>0.85008084468950762</v>
      </c>
      <c r="O136" s="8">
        <f t="shared" si="30"/>
        <v>1214.3899999999999</v>
      </c>
      <c r="P136" s="6">
        <f t="shared" si="31"/>
        <v>-0.23351641564900885</v>
      </c>
      <c r="Q136" s="3" t="str">
        <f t="shared" si="32"/>
        <v>Degrowing</v>
      </c>
      <c r="R136" s="3">
        <f>IF(COUNTIFS($C$2:C136,C136,$J$2:J136,J136)=1,1,0)</f>
        <v>0</v>
      </c>
    </row>
    <row r="137" spans="1:18">
      <c r="A137" s="1">
        <v>44766</v>
      </c>
      <c r="B137" t="s">
        <v>12</v>
      </c>
      <c r="C137" t="s">
        <v>7</v>
      </c>
      <c r="D137">
        <v>12</v>
      </c>
      <c r="E137">
        <v>100.6</v>
      </c>
      <c r="F137" t="s">
        <v>16</v>
      </c>
      <c r="G137">
        <f t="shared" si="22"/>
        <v>2022</v>
      </c>
      <c r="H137" s="3" t="str">
        <f t="shared" si="23"/>
        <v>Jul</v>
      </c>
      <c r="I137" s="8">
        <f t="shared" si="24"/>
        <v>7</v>
      </c>
      <c r="J137" s="4">
        <f t="shared" si="25"/>
        <v>44743</v>
      </c>
      <c r="K137" s="3" t="str">
        <f t="shared" si="26"/>
        <v>2022-Jul</v>
      </c>
      <c r="L137" s="8">
        <f t="shared" si="27"/>
        <v>537.31000000000006</v>
      </c>
      <c r="M137" s="8">
        <f t="shared" si="28"/>
        <v>862.01874999999984</v>
      </c>
      <c r="N137" s="6">
        <f t="shared" si="29"/>
        <v>0.62331590815165006</v>
      </c>
      <c r="O137" s="8">
        <f t="shared" si="30"/>
        <v>1013.7</v>
      </c>
      <c r="P137" s="6">
        <f t="shared" si="31"/>
        <v>-0.46995166222748347</v>
      </c>
      <c r="Q137" s="3" t="str">
        <f t="shared" si="32"/>
        <v>Degrowing</v>
      </c>
      <c r="R137" s="3">
        <f>IF(COUNTIFS($C$2:C137,C137,$J$2:J137,J137)=1,1,0)</f>
        <v>0</v>
      </c>
    </row>
    <row r="138" spans="1:18">
      <c r="A138" s="1">
        <v>44642</v>
      </c>
      <c r="B138" t="s">
        <v>18</v>
      </c>
      <c r="C138" t="s">
        <v>23</v>
      </c>
      <c r="D138">
        <v>11</v>
      </c>
      <c r="E138">
        <v>214</v>
      </c>
      <c r="F138" t="s">
        <v>11</v>
      </c>
      <c r="G138">
        <f t="shared" si="22"/>
        <v>2022</v>
      </c>
      <c r="H138" s="3" t="str">
        <f t="shared" si="23"/>
        <v>Mar</v>
      </c>
      <c r="I138" s="8">
        <f t="shared" si="24"/>
        <v>3</v>
      </c>
      <c r="J138" s="4">
        <f t="shared" si="25"/>
        <v>44621</v>
      </c>
      <c r="K138" s="3" t="str">
        <f t="shared" si="26"/>
        <v>2022-Mar</v>
      </c>
      <c r="L138" s="8">
        <f t="shared" si="27"/>
        <v>1922.5800000000002</v>
      </c>
      <c r="M138" s="8">
        <f t="shared" si="28"/>
        <v>841.79683636363654</v>
      </c>
      <c r="N138" s="6">
        <f t="shared" si="29"/>
        <v>2.2839002440364253</v>
      </c>
      <c r="O138" s="8">
        <f t="shared" si="30"/>
        <v>1770.3600000000001</v>
      </c>
      <c r="P138" s="6">
        <f t="shared" si="31"/>
        <v>8.5982512031451241E-2</v>
      </c>
      <c r="Q138" s="3" t="str">
        <f t="shared" si="32"/>
        <v>Growing</v>
      </c>
      <c r="R138" s="3">
        <f>IF(COUNTIFS($C$2:C138,C138,$J$2:J138,J138)=1,1,0)</f>
        <v>0</v>
      </c>
    </row>
    <row r="139" spans="1:18">
      <c r="A139" s="1">
        <v>44686</v>
      </c>
      <c r="B139" t="s">
        <v>17</v>
      </c>
      <c r="C139" t="s">
        <v>10</v>
      </c>
      <c r="D139">
        <v>13</v>
      </c>
      <c r="E139">
        <v>315.98</v>
      </c>
      <c r="F139" t="s">
        <v>22</v>
      </c>
      <c r="G139">
        <f t="shared" si="22"/>
        <v>2022</v>
      </c>
      <c r="H139" s="3" t="str">
        <f t="shared" si="23"/>
        <v>May</v>
      </c>
      <c r="I139" s="8">
        <f t="shared" si="24"/>
        <v>5</v>
      </c>
      <c r="J139" s="4">
        <f t="shared" si="25"/>
        <v>44682</v>
      </c>
      <c r="K139" s="3" t="str">
        <f t="shared" si="26"/>
        <v>2022-May</v>
      </c>
      <c r="L139" s="8">
        <f t="shared" si="27"/>
        <v>2645.1499999999996</v>
      </c>
      <c r="M139" s="8">
        <f t="shared" si="28"/>
        <v>764.83615384615382</v>
      </c>
      <c r="N139" s="6">
        <f t="shared" si="29"/>
        <v>3.4584531428048435</v>
      </c>
      <c r="O139" s="8">
        <f t="shared" si="30"/>
        <v>2185.4700000000003</v>
      </c>
      <c r="P139" s="6">
        <f t="shared" si="31"/>
        <v>0.21033461909795118</v>
      </c>
      <c r="Q139" s="3" t="str">
        <f t="shared" si="32"/>
        <v>Growing</v>
      </c>
      <c r="R139" s="3">
        <f>IF(COUNTIFS($C$2:C139,C139,$J$2:J139,J139)=1,1,0)</f>
        <v>0</v>
      </c>
    </row>
    <row r="140" spans="1:18">
      <c r="A140" s="1">
        <v>44603</v>
      </c>
      <c r="B140" t="s">
        <v>17</v>
      </c>
      <c r="C140" t="s">
        <v>19</v>
      </c>
      <c r="D140">
        <v>1</v>
      </c>
      <c r="E140">
        <v>13.06</v>
      </c>
      <c r="F140" t="s">
        <v>22</v>
      </c>
      <c r="G140">
        <f t="shared" si="22"/>
        <v>2022</v>
      </c>
      <c r="H140" s="3" t="str">
        <f t="shared" si="23"/>
        <v>Feb</v>
      </c>
      <c r="I140" s="8">
        <f t="shared" si="24"/>
        <v>2</v>
      </c>
      <c r="J140" s="4">
        <f t="shared" si="25"/>
        <v>44593</v>
      </c>
      <c r="K140" s="3" t="str">
        <f t="shared" si="26"/>
        <v>2022-Feb</v>
      </c>
      <c r="L140" s="8">
        <f t="shared" si="27"/>
        <v>519.11</v>
      </c>
      <c r="M140" s="8">
        <f t="shared" si="28"/>
        <v>1773.6794444444454</v>
      </c>
      <c r="N140" s="6">
        <f t="shared" si="29"/>
        <v>0.29267408021554675</v>
      </c>
      <c r="O140" s="8">
        <f t="shared" si="30"/>
        <v>1368.74</v>
      </c>
      <c r="P140" s="6">
        <f t="shared" si="31"/>
        <v>-0.62073878165319929</v>
      </c>
      <c r="Q140" s="3" t="str">
        <f t="shared" si="32"/>
        <v>Degrowing</v>
      </c>
      <c r="R140" s="3">
        <f>IF(COUNTIFS($C$2:C140,C140,$J$2:J140,J140)=1,1,0)</f>
        <v>0</v>
      </c>
    </row>
    <row r="141" spans="1:18">
      <c r="A141" s="1">
        <v>44619</v>
      </c>
      <c r="B141" t="s">
        <v>12</v>
      </c>
      <c r="C141" t="s">
        <v>13</v>
      </c>
      <c r="D141">
        <v>3</v>
      </c>
      <c r="E141">
        <v>44.25</v>
      </c>
      <c r="F141" t="s">
        <v>22</v>
      </c>
      <c r="G141">
        <f t="shared" si="22"/>
        <v>2022</v>
      </c>
      <c r="H141" s="3" t="str">
        <f t="shared" si="23"/>
        <v>Feb</v>
      </c>
      <c r="I141" s="8">
        <f t="shared" si="24"/>
        <v>2</v>
      </c>
      <c r="J141" s="4">
        <f t="shared" si="25"/>
        <v>44593</v>
      </c>
      <c r="K141" s="3" t="str">
        <f t="shared" si="26"/>
        <v>2022-Feb</v>
      </c>
      <c r="L141" s="8">
        <f t="shared" si="27"/>
        <v>738.18000000000006</v>
      </c>
      <c r="M141" s="8">
        <f t="shared" si="28"/>
        <v>1264.1315909090908</v>
      </c>
      <c r="N141" s="6">
        <f t="shared" si="29"/>
        <v>0.58394237222498602</v>
      </c>
      <c r="O141" s="8">
        <f t="shared" si="30"/>
        <v>882.82999999999993</v>
      </c>
      <c r="P141" s="6">
        <f t="shared" si="31"/>
        <v>-0.16384807947169883</v>
      </c>
      <c r="Q141" s="3" t="str">
        <f t="shared" si="32"/>
        <v>Degrowing</v>
      </c>
      <c r="R141" s="3">
        <f>IF(COUNTIFS($C$2:C141,C141,$J$2:J141,J141)=1,1,0)</f>
        <v>0</v>
      </c>
    </row>
    <row r="142" spans="1:18">
      <c r="A142" s="1">
        <v>44760</v>
      </c>
      <c r="B142" t="s">
        <v>6</v>
      </c>
      <c r="C142" t="s">
        <v>13</v>
      </c>
      <c r="D142">
        <v>5</v>
      </c>
      <c r="E142">
        <v>97.26</v>
      </c>
      <c r="F142" t="s">
        <v>11</v>
      </c>
      <c r="G142">
        <f t="shared" si="22"/>
        <v>2022</v>
      </c>
      <c r="H142" s="3" t="str">
        <f t="shared" si="23"/>
        <v>Jul</v>
      </c>
      <c r="I142" s="8">
        <f t="shared" si="24"/>
        <v>7</v>
      </c>
      <c r="J142" s="4">
        <f t="shared" si="25"/>
        <v>44743</v>
      </c>
      <c r="K142" s="3" t="str">
        <f t="shared" si="26"/>
        <v>2022-Jul</v>
      </c>
      <c r="L142" s="8">
        <f t="shared" si="27"/>
        <v>1653.05</v>
      </c>
      <c r="M142" s="8">
        <f t="shared" si="28"/>
        <v>842.75439393939394</v>
      </c>
      <c r="N142" s="6">
        <f t="shared" si="29"/>
        <v>1.9614848784981569</v>
      </c>
      <c r="O142" s="8">
        <f t="shared" si="30"/>
        <v>585.20999999999992</v>
      </c>
      <c r="P142" s="6">
        <f t="shared" si="31"/>
        <v>1.8247124963688253</v>
      </c>
      <c r="Q142" s="3" t="str">
        <f t="shared" si="32"/>
        <v>Growing</v>
      </c>
      <c r="R142" s="3">
        <f>IF(COUNTIFS($C$2:C142,C142,$J$2:J142,J142)=1,1,0)</f>
        <v>0</v>
      </c>
    </row>
    <row r="143" spans="1:18">
      <c r="A143" s="1">
        <v>44771</v>
      </c>
      <c r="B143" t="s">
        <v>9</v>
      </c>
      <c r="C143" t="s">
        <v>23</v>
      </c>
      <c r="D143">
        <v>20</v>
      </c>
      <c r="E143">
        <v>380.27</v>
      </c>
      <c r="F143" t="s">
        <v>11</v>
      </c>
      <c r="G143">
        <f t="shared" si="22"/>
        <v>2022</v>
      </c>
      <c r="H143" s="3" t="str">
        <f t="shared" si="23"/>
        <v>Jul</v>
      </c>
      <c r="I143" s="8">
        <f t="shared" si="24"/>
        <v>7</v>
      </c>
      <c r="J143" s="4">
        <f t="shared" si="25"/>
        <v>44743</v>
      </c>
      <c r="K143" s="3" t="str">
        <f t="shared" si="26"/>
        <v>2022-Jul</v>
      </c>
      <c r="L143" s="8">
        <f t="shared" si="27"/>
        <v>1698.9899999999998</v>
      </c>
      <c r="M143" s="8">
        <f t="shared" si="28"/>
        <v>1202.5669090909096</v>
      </c>
      <c r="N143" s="6">
        <f t="shared" si="29"/>
        <v>1.4128028861898132</v>
      </c>
      <c r="O143" s="8">
        <f t="shared" si="30"/>
        <v>2252.73</v>
      </c>
      <c r="P143" s="6">
        <f t="shared" si="31"/>
        <v>-0.24580841911813675</v>
      </c>
      <c r="Q143" s="3" t="str">
        <f t="shared" si="32"/>
        <v>Degrowing</v>
      </c>
      <c r="R143" s="3">
        <f>IF(COUNTIFS($C$2:C143,C143,$J$2:J143,J143)=1,1,0)</f>
        <v>0</v>
      </c>
    </row>
    <row r="144" spans="1:18">
      <c r="A144" s="1">
        <v>44665</v>
      </c>
      <c r="B144" t="s">
        <v>6</v>
      </c>
      <c r="C144" t="s">
        <v>23</v>
      </c>
      <c r="D144">
        <v>9</v>
      </c>
      <c r="E144">
        <v>79.13</v>
      </c>
      <c r="F144" t="s">
        <v>14</v>
      </c>
      <c r="G144">
        <f t="shared" si="22"/>
        <v>2022</v>
      </c>
      <c r="H144" s="3" t="str">
        <f t="shared" si="23"/>
        <v>Apr</v>
      </c>
      <c r="I144" s="8">
        <f t="shared" si="24"/>
        <v>4</v>
      </c>
      <c r="J144" s="4">
        <f t="shared" si="25"/>
        <v>44652</v>
      </c>
      <c r="K144" s="3" t="str">
        <f t="shared" si="26"/>
        <v>2022-Apr</v>
      </c>
      <c r="L144" s="8">
        <f t="shared" si="27"/>
        <v>1623.23</v>
      </c>
      <c r="M144" s="8">
        <f t="shared" si="28"/>
        <v>1402.9947272727277</v>
      </c>
      <c r="N144" s="6">
        <f t="shared" si="29"/>
        <v>1.156975125028008</v>
      </c>
      <c r="O144" s="8">
        <f t="shared" si="30"/>
        <v>1922.5800000000002</v>
      </c>
      <c r="P144" s="6">
        <f t="shared" si="31"/>
        <v>-0.15570223345712539</v>
      </c>
      <c r="Q144" s="3" t="str">
        <f t="shared" si="32"/>
        <v>Degrowing</v>
      </c>
      <c r="R144" s="3">
        <f>IF(COUNTIFS($C$2:C144,C144,$J$2:J144,J144)=1,1,0)</f>
        <v>0</v>
      </c>
    </row>
    <row r="145" spans="1:18">
      <c r="A145" s="1">
        <v>44735</v>
      </c>
      <c r="B145" t="s">
        <v>17</v>
      </c>
      <c r="C145" t="s">
        <v>19</v>
      </c>
      <c r="D145">
        <v>3</v>
      </c>
      <c r="E145">
        <v>56.2</v>
      </c>
      <c r="F145" t="s">
        <v>8</v>
      </c>
      <c r="G145">
        <f t="shared" si="22"/>
        <v>2022</v>
      </c>
      <c r="H145" s="3" t="str">
        <f t="shared" si="23"/>
        <v>Jun</v>
      </c>
      <c r="I145" s="8">
        <f t="shared" si="24"/>
        <v>6</v>
      </c>
      <c r="J145" s="4">
        <f t="shared" si="25"/>
        <v>44713</v>
      </c>
      <c r="K145" s="3" t="str">
        <f t="shared" si="26"/>
        <v>2022-Jun</v>
      </c>
      <c r="L145" s="8">
        <f t="shared" si="27"/>
        <v>1655.98</v>
      </c>
      <c r="M145" s="8">
        <f t="shared" si="28"/>
        <v>591.22648148148176</v>
      </c>
      <c r="N145" s="6">
        <f t="shared" si="29"/>
        <v>2.8009232533875736</v>
      </c>
      <c r="O145" s="8">
        <f t="shared" si="30"/>
        <v>1584.09</v>
      </c>
      <c r="P145" s="6">
        <f t="shared" si="31"/>
        <v>4.5382522457688708E-2</v>
      </c>
      <c r="Q145" s="3" t="str">
        <f t="shared" si="32"/>
        <v>Growing</v>
      </c>
      <c r="R145" s="3">
        <f>IF(COUNTIFS($C$2:C145,C145,$J$2:J145,J145)=1,1,0)</f>
        <v>0</v>
      </c>
    </row>
    <row r="146" spans="1:18">
      <c r="A146" s="1">
        <v>44717</v>
      </c>
      <c r="B146" t="s">
        <v>18</v>
      </c>
      <c r="C146" t="s">
        <v>19</v>
      </c>
      <c r="D146">
        <v>7</v>
      </c>
      <c r="E146">
        <v>156.91999999999999</v>
      </c>
      <c r="F146" t="s">
        <v>11</v>
      </c>
      <c r="G146">
        <f t="shared" si="22"/>
        <v>2022</v>
      </c>
      <c r="H146" s="3" t="str">
        <f t="shared" si="23"/>
        <v>Jun</v>
      </c>
      <c r="I146" s="8">
        <f t="shared" si="24"/>
        <v>6</v>
      </c>
      <c r="J146" s="4">
        <f t="shared" si="25"/>
        <v>44713</v>
      </c>
      <c r="K146" s="3" t="str">
        <f t="shared" si="26"/>
        <v>2022-Jun</v>
      </c>
      <c r="L146" s="8">
        <f t="shared" si="27"/>
        <v>1655.98</v>
      </c>
      <c r="M146" s="8">
        <f t="shared" si="28"/>
        <v>591.22648148148176</v>
      </c>
      <c r="N146" s="6">
        <f t="shared" si="29"/>
        <v>2.8009232533875736</v>
      </c>
      <c r="O146" s="8">
        <f t="shared" si="30"/>
        <v>1584.09</v>
      </c>
      <c r="P146" s="6">
        <f t="shared" si="31"/>
        <v>4.5382522457688708E-2</v>
      </c>
      <c r="Q146" s="3" t="str">
        <f t="shared" si="32"/>
        <v>Growing</v>
      </c>
      <c r="R146" s="3">
        <f>IF(COUNTIFS($C$2:C146,C146,$J$2:J146,J146)=1,1,0)</f>
        <v>0</v>
      </c>
    </row>
    <row r="147" spans="1:18">
      <c r="A147" s="1">
        <v>44699</v>
      </c>
      <c r="B147" t="s">
        <v>9</v>
      </c>
      <c r="C147" t="s">
        <v>13</v>
      </c>
      <c r="D147">
        <v>13</v>
      </c>
      <c r="E147">
        <v>187.47</v>
      </c>
      <c r="F147" t="s">
        <v>22</v>
      </c>
      <c r="G147">
        <f t="shared" si="22"/>
        <v>2022</v>
      </c>
      <c r="H147" s="3" t="str">
        <f t="shared" si="23"/>
        <v>May</v>
      </c>
      <c r="I147" s="8">
        <f t="shared" si="24"/>
        <v>5</v>
      </c>
      <c r="J147" s="4">
        <f t="shared" si="25"/>
        <v>44682</v>
      </c>
      <c r="K147" s="3" t="str">
        <f t="shared" si="26"/>
        <v>2022-May</v>
      </c>
      <c r="L147" s="8">
        <f t="shared" si="27"/>
        <v>1938.8200000000002</v>
      </c>
      <c r="M147" s="8">
        <f t="shared" si="28"/>
        <v>758.4789545454546</v>
      </c>
      <c r="N147" s="6">
        <f t="shared" si="29"/>
        <v>2.5561948533719128</v>
      </c>
      <c r="O147" s="8">
        <f t="shared" si="30"/>
        <v>972.89</v>
      </c>
      <c r="P147" s="6">
        <f t="shared" si="31"/>
        <v>0.99284605659427083</v>
      </c>
      <c r="Q147" s="3" t="str">
        <f t="shared" si="32"/>
        <v>Growing</v>
      </c>
      <c r="R147" s="3">
        <f>IF(COUNTIFS($C$2:C147,C147,$J$2:J147,J147)=1,1,0)</f>
        <v>0</v>
      </c>
    </row>
    <row r="148" spans="1:18">
      <c r="A148" s="1">
        <v>44695</v>
      </c>
      <c r="B148" t="s">
        <v>17</v>
      </c>
      <c r="C148" t="s">
        <v>7</v>
      </c>
      <c r="D148">
        <v>14</v>
      </c>
      <c r="E148">
        <v>234.19</v>
      </c>
      <c r="F148" t="s">
        <v>16</v>
      </c>
      <c r="G148">
        <f t="shared" si="22"/>
        <v>2022</v>
      </c>
      <c r="H148" s="3" t="str">
        <f t="shared" si="23"/>
        <v>May</v>
      </c>
      <c r="I148" s="8">
        <f t="shared" si="24"/>
        <v>5</v>
      </c>
      <c r="J148" s="4">
        <f t="shared" si="25"/>
        <v>44682</v>
      </c>
      <c r="K148" s="3" t="str">
        <f t="shared" si="26"/>
        <v>2022-May</v>
      </c>
      <c r="L148" s="8">
        <f t="shared" si="27"/>
        <v>459.62</v>
      </c>
      <c r="M148" s="8">
        <f t="shared" si="28"/>
        <v>1508.5328124999996</v>
      </c>
      <c r="N148" s="6">
        <f t="shared" si="29"/>
        <v>0.30468014761859885</v>
      </c>
      <c r="O148" s="8">
        <f t="shared" si="30"/>
        <v>574.2399999999999</v>
      </c>
      <c r="P148" s="6">
        <f t="shared" si="31"/>
        <v>-0.1996029534689327</v>
      </c>
      <c r="Q148" s="3" t="str">
        <f t="shared" si="32"/>
        <v>Degrowing</v>
      </c>
      <c r="R148" s="3">
        <f>IF(COUNTIFS($C$2:C148,C148,$J$2:J148,J148)=1,1,0)</f>
        <v>0</v>
      </c>
    </row>
    <row r="149" spans="1:18">
      <c r="A149" s="1">
        <v>44677</v>
      </c>
      <c r="B149" t="s">
        <v>9</v>
      </c>
      <c r="C149" t="s">
        <v>10</v>
      </c>
      <c r="D149">
        <v>12</v>
      </c>
      <c r="E149">
        <v>248.77</v>
      </c>
      <c r="F149" t="s">
        <v>16</v>
      </c>
      <c r="G149">
        <f t="shared" si="22"/>
        <v>2022</v>
      </c>
      <c r="H149" s="3" t="str">
        <f t="shared" si="23"/>
        <v>Apr</v>
      </c>
      <c r="I149" s="8">
        <f t="shared" si="24"/>
        <v>4</v>
      </c>
      <c r="J149" s="4">
        <f t="shared" si="25"/>
        <v>44652</v>
      </c>
      <c r="K149" s="3" t="str">
        <f t="shared" si="26"/>
        <v>2022-Apr</v>
      </c>
      <c r="L149" s="8">
        <f t="shared" si="27"/>
        <v>2185.4700000000003</v>
      </c>
      <c r="M149" s="8">
        <f t="shared" si="28"/>
        <v>841.31976923076911</v>
      </c>
      <c r="N149" s="6">
        <f t="shared" si="29"/>
        <v>2.5976686628892689</v>
      </c>
      <c r="O149" s="8">
        <f t="shared" si="30"/>
        <v>274.01</v>
      </c>
      <c r="P149" s="6">
        <f t="shared" si="31"/>
        <v>6.9758767928177816</v>
      </c>
      <c r="Q149" s="3" t="str">
        <f t="shared" si="32"/>
        <v>Growing</v>
      </c>
      <c r="R149" s="3">
        <f>IF(COUNTIFS($C$2:C149,C149,$J$2:J149,J149)=1,1,0)</f>
        <v>0</v>
      </c>
    </row>
    <row r="150" spans="1:18">
      <c r="A150" s="1">
        <v>44580</v>
      </c>
      <c r="B150" t="s">
        <v>15</v>
      </c>
      <c r="C150" t="s">
        <v>24</v>
      </c>
      <c r="D150">
        <v>11</v>
      </c>
      <c r="E150">
        <v>224.04</v>
      </c>
      <c r="F150" t="s">
        <v>11</v>
      </c>
      <c r="G150">
        <f t="shared" si="22"/>
        <v>2022</v>
      </c>
      <c r="H150" s="3" t="str">
        <f t="shared" si="23"/>
        <v>Jan</v>
      </c>
      <c r="I150" s="8">
        <f t="shared" si="24"/>
        <v>1</v>
      </c>
      <c r="J150" s="4">
        <f t="shared" si="25"/>
        <v>44562</v>
      </c>
      <c r="K150" s="3" t="str">
        <f t="shared" si="26"/>
        <v>2022-Jan</v>
      </c>
      <c r="L150" s="8">
        <f t="shared" si="27"/>
        <v>1214.3899999999999</v>
      </c>
      <c r="M150" s="8">
        <f t="shared" si="28"/>
        <v>821.22483333333321</v>
      </c>
      <c r="N150" s="6">
        <f t="shared" si="29"/>
        <v>1.4787546000902312</v>
      </c>
      <c r="O150" s="8">
        <f t="shared" si="30"/>
        <v>0</v>
      </c>
      <c r="P150" s="6">
        <f t="shared" si="31"/>
        <v>0</v>
      </c>
      <c r="Q150" s="3" t="str">
        <f t="shared" si="32"/>
        <v>No Growth</v>
      </c>
      <c r="R150" s="3">
        <f>IF(COUNTIFS($C$2:C150,C150,$J$2:J150,J150)=1,1,0)</f>
        <v>0</v>
      </c>
    </row>
    <row r="151" spans="1:18">
      <c r="A151" s="1">
        <v>44687</v>
      </c>
      <c r="B151" t="s">
        <v>15</v>
      </c>
      <c r="C151" t="s">
        <v>24</v>
      </c>
      <c r="D151">
        <v>8</v>
      </c>
      <c r="E151">
        <v>88.55</v>
      </c>
      <c r="F151" t="s">
        <v>11</v>
      </c>
      <c r="G151">
        <f t="shared" si="22"/>
        <v>2022</v>
      </c>
      <c r="H151" s="3" t="str">
        <f t="shared" si="23"/>
        <v>May</v>
      </c>
      <c r="I151" s="8">
        <f t="shared" si="24"/>
        <v>5</v>
      </c>
      <c r="J151" s="4">
        <f t="shared" si="25"/>
        <v>44682</v>
      </c>
      <c r="K151" s="3" t="str">
        <f t="shared" si="26"/>
        <v>2022-May</v>
      </c>
      <c r="L151" s="8">
        <f t="shared" si="27"/>
        <v>791.69999999999993</v>
      </c>
      <c r="M151" s="8">
        <f t="shared" si="28"/>
        <v>1094.9664444444443</v>
      </c>
      <c r="N151" s="6">
        <f t="shared" si="29"/>
        <v>0.72303585558887751</v>
      </c>
      <c r="O151" s="8">
        <f t="shared" si="30"/>
        <v>865.70999999999992</v>
      </c>
      <c r="P151" s="6">
        <f t="shared" si="31"/>
        <v>-8.5490522230308064E-2</v>
      </c>
      <c r="Q151" s="3" t="str">
        <f t="shared" si="32"/>
        <v>Degrowing</v>
      </c>
      <c r="R151" s="3">
        <f>IF(COUNTIFS($C$2:C151,C151,$J$2:J151,J151)=1,1,0)</f>
        <v>0</v>
      </c>
    </row>
    <row r="152" spans="1:18">
      <c r="A152" s="1">
        <v>44622</v>
      </c>
      <c r="B152" t="s">
        <v>12</v>
      </c>
      <c r="C152" t="s">
        <v>23</v>
      </c>
      <c r="D152">
        <v>20</v>
      </c>
      <c r="E152">
        <v>302.63</v>
      </c>
      <c r="F152" t="s">
        <v>14</v>
      </c>
      <c r="G152">
        <f t="shared" si="22"/>
        <v>2022</v>
      </c>
      <c r="H152" s="3" t="str">
        <f t="shared" si="23"/>
        <v>Mar</v>
      </c>
      <c r="I152" s="8">
        <f t="shared" si="24"/>
        <v>3</v>
      </c>
      <c r="J152" s="4">
        <f t="shared" si="25"/>
        <v>44621</v>
      </c>
      <c r="K152" s="3" t="str">
        <f t="shared" si="26"/>
        <v>2022-Mar</v>
      </c>
      <c r="L152" s="8">
        <f t="shared" si="27"/>
        <v>1922.5800000000002</v>
      </c>
      <c r="M152" s="8">
        <f t="shared" si="28"/>
        <v>841.79683636363654</v>
      </c>
      <c r="N152" s="6">
        <f t="shared" si="29"/>
        <v>2.2839002440364253</v>
      </c>
      <c r="O152" s="8">
        <f t="shared" si="30"/>
        <v>1770.3600000000001</v>
      </c>
      <c r="P152" s="6">
        <f t="shared" si="31"/>
        <v>8.5982512031451241E-2</v>
      </c>
      <c r="Q152" s="3" t="str">
        <f t="shared" si="32"/>
        <v>Growing</v>
      </c>
      <c r="R152" s="3">
        <f>IF(COUNTIFS($C$2:C152,C152,$J$2:J152,J152)=1,1,0)</f>
        <v>0</v>
      </c>
    </row>
    <row r="153" spans="1:18">
      <c r="A153" s="1">
        <v>44615</v>
      </c>
      <c r="B153" t="s">
        <v>6</v>
      </c>
      <c r="C153" t="s">
        <v>7</v>
      </c>
      <c r="D153">
        <v>6</v>
      </c>
      <c r="E153">
        <v>127.61</v>
      </c>
      <c r="F153" t="s">
        <v>16</v>
      </c>
      <c r="G153">
        <f t="shared" si="22"/>
        <v>2022</v>
      </c>
      <c r="H153" s="3" t="str">
        <f t="shared" si="23"/>
        <v>Feb</v>
      </c>
      <c r="I153" s="8">
        <f t="shared" si="24"/>
        <v>2</v>
      </c>
      <c r="J153" s="4">
        <f t="shared" si="25"/>
        <v>44593</v>
      </c>
      <c r="K153" s="3" t="str">
        <f t="shared" si="26"/>
        <v>2022-Feb</v>
      </c>
      <c r="L153" s="8">
        <f t="shared" si="27"/>
        <v>837.85</v>
      </c>
      <c r="M153" s="8">
        <f t="shared" si="28"/>
        <v>862.01874999999984</v>
      </c>
      <c r="N153" s="6">
        <f t="shared" si="29"/>
        <v>0.97196261682243013</v>
      </c>
      <c r="O153" s="8">
        <f t="shared" si="30"/>
        <v>656.7700000000001</v>
      </c>
      <c r="P153" s="6">
        <f t="shared" si="31"/>
        <v>0.27571295887449165</v>
      </c>
      <c r="Q153" s="3" t="str">
        <f t="shared" si="32"/>
        <v>Growing</v>
      </c>
      <c r="R153" s="3">
        <f>IF(COUNTIFS($C$2:C153,C153,$J$2:J153,J153)=1,1,0)</f>
        <v>0</v>
      </c>
    </row>
    <row r="154" spans="1:18">
      <c r="A154" s="1">
        <v>44759</v>
      </c>
      <c r="B154" t="s">
        <v>15</v>
      </c>
      <c r="C154" t="s">
        <v>24</v>
      </c>
      <c r="D154">
        <v>7</v>
      </c>
      <c r="E154">
        <v>85.93</v>
      </c>
      <c r="F154" t="s">
        <v>11</v>
      </c>
      <c r="G154">
        <f t="shared" si="22"/>
        <v>2022</v>
      </c>
      <c r="H154" s="3" t="str">
        <f t="shared" si="23"/>
        <v>Jul</v>
      </c>
      <c r="I154" s="8">
        <f t="shared" si="24"/>
        <v>7</v>
      </c>
      <c r="J154" s="4">
        <f t="shared" si="25"/>
        <v>44743</v>
      </c>
      <c r="K154" s="3" t="str">
        <f t="shared" si="26"/>
        <v>2022-Jul</v>
      </c>
      <c r="L154" s="8">
        <f t="shared" si="27"/>
        <v>874.87</v>
      </c>
      <c r="M154" s="8">
        <f t="shared" si="28"/>
        <v>938.54266666666649</v>
      </c>
      <c r="N154" s="6">
        <f t="shared" si="29"/>
        <v>0.9321579413189528</v>
      </c>
      <c r="O154" s="8">
        <f t="shared" si="30"/>
        <v>704.09</v>
      </c>
      <c r="P154" s="6">
        <f t="shared" si="31"/>
        <v>0.24255421892087653</v>
      </c>
      <c r="Q154" s="3" t="str">
        <f t="shared" si="32"/>
        <v>Growing</v>
      </c>
      <c r="R154" s="3">
        <f>IF(COUNTIFS($C$2:C154,C154,$J$2:J154,J154)=1,1,0)</f>
        <v>0</v>
      </c>
    </row>
    <row r="155" spans="1:18">
      <c r="A155" s="1">
        <v>44652</v>
      </c>
      <c r="B155" t="s">
        <v>12</v>
      </c>
      <c r="C155" t="s">
        <v>20</v>
      </c>
      <c r="D155">
        <v>9</v>
      </c>
      <c r="E155">
        <v>112.85</v>
      </c>
      <c r="F155" t="s">
        <v>16</v>
      </c>
      <c r="G155">
        <f t="shared" si="22"/>
        <v>2022</v>
      </c>
      <c r="H155" s="3" t="str">
        <f t="shared" si="23"/>
        <v>Apr</v>
      </c>
      <c r="I155" s="8">
        <f t="shared" si="24"/>
        <v>4</v>
      </c>
      <c r="J155" s="4">
        <f t="shared" si="25"/>
        <v>44652</v>
      </c>
      <c r="K155" s="3" t="str">
        <f t="shared" si="26"/>
        <v>2022-Apr</v>
      </c>
      <c r="L155" s="8">
        <f t="shared" si="27"/>
        <v>740.37</v>
      </c>
      <c r="M155" s="8">
        <f t="shared" si="28"/>
        <v>1556.7479999999998</v>
      </c>
      <c r="N155" s="6">
        <f t="shared" si="29"/>
        <v>0.47558757101342036</v>
      </c>
      <c r="O155" s="8">
        <f t="shared" si="30"/>
        <v>690.2</v>
      </c>
      <c r="P155" s="6">
        <f t="shared" si="31"/>
        <v>7.2689075630252037E-2</v>
      </c>
      <c r="Q155" s="3" t="str">
        <f t="shared" si="32"/>
        <v>Growing</v>
      </c>
      <c r="R155" s="3">
        <f>IF(COUNTIFS($C$2:C155,C155,$J$2:J155,J155)=1,1,0)</f>
        <v>1</v>
      </c>
    </row>
    <row r="156" spans="1:18">
      <c r="A156" s="1">
        <v>44775</v>
      </c>
      <c r="B156" t="s">
        <v>21</v>
      </c>
      <c r="C156" t="s">
        <v>10</v>
      </c>
      <c r="D156">
        <v>2</v>
      </c>
      <c r="E156">
        <v>18.27</v>
      </c>
      <c r="F156" t="s">
        <v>16</v>
      </c>
      <c r="G156">
        <f t="shared" si="22"/>
        <v>2022</v>
      </c>
      <c r="H156" s="3" t="str">
        <f t="shared" si="23"/>
        <v>Aug</v>
      </c>
      <c r="I156" s="8">
        <f t="shared" si="24"/>
        <v>8</v>
      </c>
      <c r="J156" s="4">
        <f t="shared" si="25"/>
        <v>44774</v>
      </c>
      <c r="K156" s="3" t="str">
        <f t="shared" si="26"/>
        <v>2022-Aug</v>
      </c>
      <c r="L156" s="8">
        <f t="shared" si="27"/>
        <v>1721.52</v>
      </c>
      <c r="M156" s="8">
        <f t="shared" si="28"/>
        <v>841.31976923076911</v>
      </c>
      <c r="N156" s="6">
        <f t="shared" si="29"/>
        <v>2.046213654974506</v>
      </c>
      <c r="O156" s="8">
        <f t="shared" si="30"/>
        <v>1166.76</v>
      </c>
      <c r="P156" s="6">
        <f t="shared" si="31"/>
        <v>0.47547053378586857</v>
      </c>
      <c r="Q156" s="3" t="str">
        <f t="shared" si="32"/>
        <v>Growing</v>
      </c>
      <c r="R156" s="3">
        <f>IF(COUNTIFS($C$2:C156,C156,$J$2:J156,J156)=1,1,0)</f>
        <v>0</v>
      </c>
    </row>
    <row r="157" spans="1:18">
      <c r="A157" s="1">
        <v>44774</v>
      </c>
      <c r="B157" t="s">
        <v>17</v>
      </c>
      <c r="C157" t="s">
        <v>24</v>
      </c>
      <c r="D157">
        <v>6</v>
      </c>
      <c r="E157">
        <v>55.27</v>
      </c>
      <c r="F157" t="s">
        <v>8</v>
      </c>
      <c r="G157">
        <f t="shared" si="22"/>
        <v>2022</v>
      </c>
      <c r="H157" s="3" t="str">
        <f t="shared" si="23"/>
        <v>Aug</v>
      </c>
      <c r="I157" s="8">
        <f t="shared" si="24"/>
        <v>8</v>
      </c>
      <c r="J157" s="4">
        <f t="shared" si="25"/>
        <v>44774</v>
      </c>
      <c r="K157" s="3" t="str">
        <f t="shared" si="26"/>
        <v>2022-Aug</v>
      </c>
      <c r="L157" s="8">
        <f t="shared" si="27"/>
        <v>896.81</v>
      </c>
      <c r="M157" s="8">
        <f t="shared" si="28"/>
        <v>1094.9664444444443</v>
      </c>
      <c r="N157" s="6">
        <f t="shared" si="29"/>
        <v>0.81902966483600015</v>
      </c>
      <c r="O157" s="8">
        <f t="shared" si="30"/>
        <v>874.87</v>
      </c>
      <c r="P157" s="6">
        <f t="shared" si="31"/>
        <v>2.5078011590293346E-2</v>
      </c>
      <c r="Q157" s="3" t="str">
        <f t="shared" si="32"/>
        <v>Growing</v>
      </c>
      <c r="R157" s="3">
        <f>IF(COUNTIFS($C$2:C157,C157,$J$2:J157,J157)=1,1,0)</f>
        <v>0</v>
      </c>
    </row>
    <row r="158" spans="1:18">
      <c r="A158" s="1">
        <v>44738</v>
      </c>
      <c r="B158" t="s">
        <v>15</v>
      </c>
      <c r="C158" t="s">
        <v>23</v>
      </c>
      <c r="D158">
        <v>11</v>
      </c>
      <c r="E158">
        <v>186.86</v>
      </c>
      <c r="F158" t="s">
        <v>22</v>
      </c>
      <c r="G158">
        <f t="shared" si="22"/>
        <v>2022</v>
      </c>
      <c r="H158" s="3" t="str">
        <f t="shared" si="23"/>
        <v>Jun</v>
      </c>
      <c r="I158" s="8">
        <f t="shared" si="24"/>
        <v>6</v>
      </c>
      <c r="J158" s="4">
        <f t="shared" si="25"/>
        <v>44713</v>
      </c>
      <c r="K158" s="3" t="str">
        <f t="shared" si="26"/>
        <v>2022-Jun</v>
      </c>
      <c r="L158" s="8">
        <f t="shared" si="27"/>
        <v>2252.73</v>
      </c>
      <c r="M158" s="8">
        <f t="shared" si="28"/>
        <v>765.26985123966961</v>
      </c>
      <c r="N158" s="6">
        <f t="shared" si="29"/>
        <v>2.9437067151551526</v>
      </c>
      <c r="O158" s="8">
        <f t="shared" si="30"/>
        <v>185.17000000000002</v>
      </c>
      <c r="P158" s="6">
        <f t="shared" si="31"/>
        <v>11.165739590646432</v>
      </c>
      <c r="Q158" s="3" t="str">
        <f t="shared" si="32"/>
        <v>Growing</v>
      </c>
      <c r="R158" s="3">
        <f>IF(COUNTIFS($C$2:C158,C158,$J$2:J158,J158)=1,1,0)</f>
        <v>0</v>
      </c>
    </row>
    <row r="159" spans="1:18">
      <c r="A159" s="1">
        <v>44704</v>
      </c>
      <c r="B159" t="s">
        <v>15</v>
      </c>
      <c r="C159" t="s">
        <v>20</v>
      </c>
      <c r="D159">
        <v>17</v>
      </c>
      <c r="E159">
        <v>350.78</v>
      </c>
      <c r="F159" t="s">
        <v>14</v>
      </c>
      <c r="G159">
        <f t="shared" si="22"/>
        <v>2022</v>
      </c>
      <c r="H159" s="3" t="str">
        <f t="shared" si="23"/>
        <v>May</v>
      </c>
      <c r="I159" s="8">
        <f t="shared" si="24"/>
        <v>5</v>
      </c>
      <c r="J159" s="4">
        <f t="shared" si="25"/>
        <v>44682</v>
      </c>
      <c r="K159" s="3" t="str">
        <f t="shared" si="26"/>
        <v>2022-May</v>
      </c>
      <c r="L159" s="8">
        <f t="shared" si="27"/>
        <v>1280.45</v>
      </c>
      <c r="M159" s="8">
        <f t="shared" si="28"/>
        <v>1556.7479999999998</v>
      </c>
      <c r="N159" s="6">
        <f t="shared" si="29"/>
        <v>0.82251591137422386</v>
      </c>
      <c r="O159" s="8">
        <f t="shared" si="30"/>
        <v>740.37</v>
      </c>
      <c r="P159" s="6">
        <f t="shared" si="31"/>
        <v>0.72947310128719434</v>
      </c>
      <c r="Q159" s="3" t="str">
        <f t="shared" si="32"/>
        <v>Growing</v>
      </c>
      <c r="R159" s="3">
        <f>IF(COUNTIFS($C$2:C159,C159,$J$2:J159,J159)=1,1,0)</f>
        <v>0</v>
      </c>
    </row>
    <row r="160" spans="1:18">
      <c r="A160" s="1">
        <v>44723</v>
      </c>
      <c r="B160" t="s">
        <v>21</v>
      </c>
      <c r="C160" t="s">
        <v>20</v>
      </c>
      <c r="D160">
        <v>2</v>
      </c>
      <c r="E160">
        <v>46.75</v>
      </c>
      <c r="F160" t="s">
        <v>8</v>
      </c>
      <c r="G160">
        <f t="shared" si="22"/>
        <v>2022</v>
      </c>
      <c r="H160" s="3" t="str">
        <f t="shared" si="23"/>
        <v>Jun</v>
      </c>
      <c r="I160" s="8">
        <f t="shared" si="24"/>
        <v>6</v>
      </c>
      <c r="J160" s="4">
        <f t="shared" si="25"/>
        <v>44713</v>
      </c>
      <c r="K160" s="3" t="str">
        <f t="shared" si="26"/>
        <v>2022-Jun</v>
      </c>
      <c r="L160" s="8">
        <f t="shared" si="27"/>
        <v>46.75</v>
      </c>
      <c r="M160" s="8">
        <f t="shared" si="28"/>
        <v>7783.74</v>
      </c>
      <c r="N160" s="6">
        <f t="shared" si="29"/>
        <v>6.0061101732586135E-3</v>
      </c>
      <c r="O160" s="8">
        <f t="shared" si="30"/>
        <v>1280.45</v>
      </c>
      <c r="P160" s="6">
        <f t="shared" si="31"/>
        <v>-0.96348939825842472</v>
      </c>
      <c r="Q160" s="3" t="str">
        <f t="shared" si="32"/>
        <v>Degrowing</v>
      </c>
      <c r="R160" s="3">
        <f>IF(COUNTIFS($C$2:C160,C160,$J$2:J160,J160)=1,1,0)</f>
        <v>1</v>
      </c>
    </row>
    <row r="161" spans="1:18">
      <c r="A161" s="1">
        <v>44705</v>
      </c>
      <c r="B161" t="s">
        <v>15</v>
      </c>
      <c r="C161" t="s">
        <v>13</v>
      </c>
      <c r="D161">
        <v>19</v>
      </c>
      <c r="E161">
        <v>326.36</v>
      </c>
      <c r="F161" t="s">
        <v>22</v>
      </c>
      <c r="G161">
        <f t="shared" si="22"/>
        <v>2022</v>
      </c>
      <c r="H161" s="3" t="str">
        <f t="shared" si="23"/>
        <v>May</v>
      </c>
      <c r="I161" s="8">
        <f t="shared" si="24"/>
        <v>5</v>
      </c>
      <c r="J161" s="4">
        <f t="shared" si="25"/>
        <v>44682</v>
      </c>
      <c r="K161" s="3" t="str">
        <f t="shared" si="26"/>
        <v>2022-May</v>
      </c>
      <c r="L161" s="8">
        <f t="shared" si="27"/>
        <v>1938.8200000000002</v>
      </c>
      <c r="M161" s="8">
        <f t="shared" si="28"/>
        <v>758.4789545454546</v>
      </c>
      <c r="N161" s="6">
        <f t="shared" si="29"/>
        <v>2.5561948533719128</v>
      </c>
      <c r="O161" s="8">
        <f t="shared" si="30"/>
        <v>972.89</v>
      </c>
      <c r="P161" s="6">
        <f t="shared" si="31"/>
        <v>0.99284605659427083</v>
      </c>
      <c r="Q161" s="3" t="str">
        <f t="shared" si="32"/>
        <v>Growing</v>
      </c>
      <c r="R161" s="3">
        <f>IF(COUNTIFS($C$2:C161,C161,$J$2:J161,J161)=1,1,0)</f>
        <v>0</v>
      </c>
    </row>
    <row r="162" spans="1:18">
      <c r="A162" s="1">
        <v>44704</v>
      </c>
      <c r="B162" t="s">
        <v>17</v>
      </c>
      <c r="C162" t="s">
        <v>23</v>
      </c>
      <c r="D162">
        <v>1</v>
      </c>
      <c r="E162">
        <v>12.41</v>
      </c>
      <c r="F162" t="s">
        <v>8</v>
      </c>
      <c r="G162">
        <f t="shared" si="22"/>
        <v>2022</v>
      </c>
      <c r="H162" s="3" t="str">
        <f t="shared" si="23"/>
        <v>May</v>
      </c>
      <c r="I162" s="8">
        <f t="shared" si="24"/>
        <v>5</v>
      </c>
      <c r="J162" s="4">
        <f t="shared" si="25"/>
        <v>44682</v>
      </c>
      <c r="K162" s="3" t="str">
        <f t="shared" si="26"/>
        <v>2022-May</v>
      </c>
      <c r="L162" s="8">
        <f t="shared" si="27"/>
        <v>185.17000000000002</v>
      </c>
      <c r="M162" s="8">
        <f t="shared" si="28"/>
        <v>2805.9894545454554</v>
      </c>
      <c r="N162" s="6">
        <f t="shared" si="29"/>
        <v>6.5990982147149893E-2</v>
      </c>
      <c r="O162" s="8">
        <f t="shared" si="30"/>
        <v>1623.23</v>
      </c>
      <c r="P162" s="6">
        <f t="shared" si="31"/>
        <v>-0.88592497674389947</v>
      </c>
      <c r="Q162" s="3" t="str">
        <f t="shared" si="32"/>
        <v>Degrowing</v>
      </c>
      <c r="R162" s="3">
        <f>IF(COUNTIFS($C$2:C162,C162,$J$2:J162,J162)=1,1,0)</f>
        <v>0</v>
      </c>
    </row>
    <row r="163" spans="1:18">
      <c r="A163" s="1">
        <v>44690</v>
      </c>
      <c r="B163" t="s">
        <v>17</v>
      </c>
      <c r="C163" t="s">
        <v>10</v>
      </c>
      <c r="D163">
        <v>15</v>
      </c>
      <c r="E163">
        <v>223.3</v>
      </c>
      <c r="F163" t="s">
        <v>14</v>
      </c>
      <c r="G163">
        <f t="shared" si="22"/>
        <v>2022</v>
      </c>
      <c r="H163" s="3" t="str">
        <f t="shared" si="23"/>
        <v>May</v>
      </c>
      <c r="I163" s="8">
        <f t="shared" si="24"/>
        <v>5</v>
      </c>
      <c r="J163" s="4">
        <f t="shared" si="25"/>
        <v>44682</v>
      </c>
      <c r="K163" s="3" t="str">
        <f t="shared" si="26"/>
        <v>2022-May</v>
      </c>
      <c r="L163" s="8">
        <f t="shared" si="27"/>
        <v>2645.1499999999996</v>
      </c>
      <c r="M163" s="8">
        <f t="shared" si="28"/>
        <v>764.83615384615382</v>
      </c>
      <c r="N163" s="6">
        <f t="shared" si="29"/>
        <v>3.4584531428048435</v>
      </c>
      <c r="O163" s="8">
        <f t="shared" si="30"/>
        <v>2185.4700000000003</v>
      </c>
      <c r="P163" s="6">
        <f t="shared" si="31"/>
        <v>0.21033461909795118</v>
      </c>
      <c r="Q163" s="3" t="str">
        <f t="shared" si="32"/>
        <v>Growing</v>
      </c>
      <c r="R163" s="3">
        <f>IF(COUNTIFS($C$2:C163,C163,$J$2:J163,J163)=1,1,0)</f>
        <v>0</v>
      </c>
    </row>
    <row r="164" spans="1:18">
      <c r="A164" s="1">
        <v>44593</v>
      </c>
      <c r="B164" t="s">
        <v>18</v>
      </c>
      <c r="C164" t="s">
        <v>23</v>
      </c>
      <c r="D164">
        <v>19</v>
      </c>
      <c r="E164">
        <v>202.9</v>
      </c>
      <c r="F164" t="s">
        <v>22</v>
      </c>
      <c r="G164">
        <f t="shared" si="22"/>
        <v>2022</v>
      </c>
      <c r="H164" s="3" t="str">
        <f t="shared" si="23"/>
        <v>Feb</v>
      </c>
      <c r="I164" s="8">
        <f t="shared" si="24"/>
        <v>2</v>
      </c>
      <c r="J164" s="4">
        <f t="shared" si="25"/>
        <v>44593</v>
      </c>
      <c r="K164" s="3" t="str">
        <f t="shared" si="26"/>
        <v>2022-Feb</v>
      </c>
      <c r="L164" s="8">
        <f t="shared" si="27"/>
        <v>1770.3600000000001</v>
      </c>
      <c r="M164" s="8">
        <f t="shared" si="28"/>
        <v>1052.2460454545458</v>
      </c>
      <c r="N164" s="6">
        <f t="shared" si="29"/>
        <v>1.6824582117913742</v>
      </c>
      <c r="O164" s="8">
        <f t="shared" si="30"/>
        <v>241.89999999999998</v>
      </c>
      <c r="P164" s="6">
        <f t="shared" si="31"/>
        <v>6.3185613890037216</v>
      </c>
      <c r="Q164" s="3" t="str">
        <f t="shared" si="32"/>
        <v>Growing</v>
      </c>
      <c r="R164" s="3">
        <f>IF(COUNTIFS($C$2:C164,C164,$J$2:J164,J164)=1,1,0)</f>
        <v>0</v>
      </c>
    </row>
    <row r="165" spans="1:18">
      <c r="A165" s="1">
        <v>44774</v>
      </c>
      <c r="B165" t="s">
        <v>6</v>
      </c>
      <c r="C165" t="s">
        <v>7</v>
      </c>
      <c r="D165">
        <v>3</v>
      </c>
      <c r="E165">
        <v>56.22</v>
      </c>
      <c r="F165" t="s">
        <v>16</v>
      </c>
      <c r="G165">
        <f t="shared" si="22"/>
        <v>2022</v>
      </c>
      <c r="H165" s="3" t="str">
        <f t="shared" si="23"/>
        <v>Aug</v>
      </c>
      <c r="I165" s="8">
        <f t="shared" si="24"/>
        <v>8</v>
      </c>
      <c r="J165" s="4">
        <f t="shared" si="25"/>
        <v>44774</v>
      </c>
      <c r="K165" s="3" t="str">
        <f t="shared" si="26"/>
        <v>2022-Aug</v>
      </c>
      <c r="L165" s="8">
        <f t="shared" si="27"/>
        <v>1020.76</v>
      </c>
      <c r="M165" s="8">
        <f t="shared" si="28"/>
        <v>1206.8262499999996</v>
      </c>
      <c r="N165" s="6">
        <f t="shared" si="29"/>
        <v>0.8458218405507838</v>
      </c>
      <c r="O165" s="8">
        <f t="shared" si="30"/>
        <v>537.31000000000006</v>
      </c>
      <c r="P165" s="6">
        <f t="shared" si="31"/>
        <v>0.89975991513279086</v>
      </c>
      <c r="Q165" s="3" t="str">
        <f t="shared" si="32"/>
        <v>Growing</v>
      </c>
      <c r="R165" s="3">
        <f>IF(COUNTIFS($C$2:C165,C165,$J$2:J165,J165)=1,1,0)</f>
        <v>0</v>
      </c>
    </row>
    <row r="166" spans="1:18">
      <c r="A166" s="1">
        <v>44796</v>
      </c>
      <c r="B166" t="s">
        <v>15</v>
      </c>
      <c r="C166" t="s">
        <v>24</v>
      </c>
      <c r="D166">
        <v>10</v>
      </c>
      <c r="E166">
        <v>246.29</v>
      </c>
      <c r="F166" t="s">
        <v>8</v>
      </c>
      <c r="G166">
        <f t="shared" si="22"/>
        <v>2022</v>
      </c>
      <c r="H166" s="3" t="str">
        <f t="shared" si="23"/>
        <v>Aug</v>
      </c>
      <c r="I166" s="8">
        <f t="shared" si="24"/>
        <v>8</v>
      </c>
      <c r="J166" s="4">
        <f t="shared" si="25"/>
        <v>44774</v>
      </c>
      <c r="K166" s="3" t="str">
        <f t="shared" si="26"/>
        <v>2022-Aug</v>
      </c>
      <c r="L166" s="8">
        <f t="shared" si="27"/>
        <v>896.81</v>
      </c>
      <c r="M166" s="8">
        <f t="shared" si="28"/>
        <v>1094.9664444444443</v>
      </c>
      <c r="N166" s="6">
        <f t="shared" si="29"/>
        <v>0.81902966483600015</v>
      </c>
      <c r="O166" s="8">
        <f t="shared" si="30"/>
        <v>874.87</v>
      </c>
      <c r="P166" s="6">
        <f t="shared" si="31"/>
        <v>2.5078011590293346E-2</v>
      </c>
      <c r="Q166" s="3" t="str">
        <f t="shared" si="32"/>
        <v>Growing</v>
      </c>
      <c r="R166" s="3">
        <f>IF(COUNTIFS($C$2:C166,C166,$J$2:J166,J166)=1,1,0)</f>
        <v>0</v>
      </c>
    </row>
    <row r="167" spans="1:18">
      <c r="A167" s="1">
        <v>44662</v>
      </c>
      <c r="B167" t="s">
        <v>12</v>
      </c>
      <c r="C167" t="s">
        <v>13</v>
      </c>
      <c r="D167">
        <v>18</v>
      </c>
      <c r="E167">
        <v>329.35</v>
      </c>
      <c r="F167" t="s">
        <v>22</v>
      </c>
      <c r="G167">
        <f t="shared" si="22"/>
        <v>2022</v>
      </c>
      <c r="H167" s="3" t="str">
        <f t="shared" si="23"/>
        <v>Apr</v>
      </c>
      <c r="I167" s="8">
        <f t="shared" si="24"/>
        <v>4</v>
      </c>
      <c r="J167" s="4">
        <f t="shared" si="25"/>
        <v>44652</v>
      </c>
      <c r="K167" s="3" t="str">
        <f t="shared" si="26"/>
        <v>2022-Apr</v>
      </c>
      <c r="L167" s="8">
        <f t="shared" si="27"/>
        <v>972.89</v>
      </c>
      <c r="M167" s="8">
        <f t="shared" si="28"/>
        <v>1516.9579090909092</v>
      </c>
      <c r="N167" s="6">
        <f t="shared" si="29"/>
        <v>0.64134277831283981</v>
      </c>
      <c r="O167" s="8">
        <f t="shared" si="30"/>
        <v>522.87</v>
      </c>
      <c r="P167" s="6">
        <f t="shared" si="31"/>
        <v>0.86067282498517794</v>
      </c>
      <c r="Q167" s="3" t="str">
        <f t="shared" si="32"/>
        <v>Growing</v>
      </c>
      <c r="R167" s="3">
        <f>IF(COUNTIFS($C$2:C167,C167,$J$2:J167,J167)=1,1,0)</f>
        <v>0</v>
      </c>
    </row>
    <row r="168" spans="1:18">
      <c r="A168" s="1">
        <v>44670</v>
      </c>
      <c r="B168" t="s">
        <v>18</v>
      </c>
      <c r="C168" t="s">
        <v>20</v>
      </c>
      <c r="D168">
        <v>14</v>
      </c>
      <c r="E168">
        <v>349.22</v>
      </c>
      <c r="F168" t="s">
        <v>16</v>
      </c>
      <c r="G168">
        <f t="shared" si="22"/>
        <v>2022</v>
      </c>
      <c r="H168" s="3" t="str">
        <f t="shared" si="23"/>
        <v>Apr</v>
      </c>
      <c r="I168" s="8">
        <f t="shared" si="24"/>
        <v>4</v>
      </c>
      <c r="J168" s="4">
        <f t="shared" si="25"/>
        <v>44652</v>
      </c>
      <c r="K168" s="3" t="str">
        <f t="shared" si="26"/>
        <v>2022-Apr</v>
      </c>
      <c r="L168" s="8">
        <f t="shared" si="27"/>
        <v>740.37</v>
      </c>
      <c r="M168" s="8">
        <f t="shared" si="28"/>
        <v>1556.7479999999998</v>
      </c>
      <c r="N168" s="6">
        <f t="shared" si="29"/>
        <v>0.47558757101342036</v>
      </c>
      <c r="O168" s="8">
        <f t="shared" si="30"/>
        <v>690.2</v>
      </c>
      <c r="P168" s="6">
        <f t="shared" si="31"/>
        <v>7.2689075630252037E-2</v>
      </c>
      <c r="Q168" s="3" t="str">
        <f t="shared" si="32"/>
        <v>Growing</v>
      </c>
      <c r="R168" s="3">
        <f>IF(COUNTIFS($C$2:C168,C168,$J$2:J168,J168)=1,1,0)</f>
        <v>0</v>
      </c>
    </row>
    <row r="169" spans="1:18">
      <c r="A169" s="1">
        <v>44603</v>
      </c>
      <c r="B169" t="s">
        <v>6</v>
      </c>
      <c r="C169" t="s">
        <v>23</v>
      </c>
      <c r="D169">
        <v>15</v>
      </c>
      <c r="E169">
        <v>268.43</v>
      </c>
      <c r="F169" t="s">
        <v>11</v>
      </c>
      <c r="G169">
        <f t="shared" si="22"/>
        <v>2022</v>
      </c>
      <c r="H169" s="3" t="str">
        <f t="shared" si="23"/>
        <v>Feb</v>
      </c>
      <c r="I169" s="8">
        <f t="shared" si="24"/>
        <v>2</v>
      </c>
      <c r="J169" s="4">
        <f t="shared" si="25"/>
        <v>44593</v>
      </c>
      <c r="K169" s="3" t="str">
        <f t="shared" si="26"/>
        <v>2022-Feb</v>
      </c>
      <c r="L169" s="8">
        <f t="shared" si="27"/>
        <v>1770.3600000000001</v>
      </c>
      <c r="M169" s="8">
        <f t="shared" si="28"/>
        <v>1052.2460454545458</v>
      </c>
      <c r="N169" s="6">
        <f t="shared" si="29"/>
        <v>1.6824582117913742</v>
      </c>
      <c r="O169" s="8">
        <f t="shared" si="30"/>
        <v>241.89999999999998</v>
      </c>
      <c r="P169" s="6">
        <f t="shared" si="31"/>
        <v>6.3185613890037216</v>
      </c>
      <c r="Q169" s="3" t="str">
        <f t="shared" si="32"/>
        <v>Growing</v>
      </c>
      <c r="R169" s="3">
        <f>IF(COUNTIFS($C$2:C169,C169,$J$2:J169,J169)=1,1,0)</f>
        <v>0</v>
      </c>
    </row>
    <row r="170" spans="1:18">
      <c r="A170" s="1">
        <v>44613</v>
      </c>
      <c r="B170" t="s">
        <v>9</v>
      </c>
      <c r="C170" t="s">
        <v>20</v>
      </c>
      <c r="D170">
        <v>14</v>
      </c>
      <c r="E170">
        <v>319.69</v>
      </c>
      <c r="F170" t="s">
        <v>16</v>
      </c>
      <c r="G170">
        <f t="shared" si="22"/>
        <v>2022</v>
      </c>
      <c r="H170" s="3" t="str">
        <f t="shared" si="23"/>
        <v>Feb</v>
      </c>
      <c r="I170" s="8">
        <f t="shared" si="24"/>
        <v>2</v>
      </c>
      <c r="J170" s="4">
        <f t="shared" si="25"/>
        <v>44593</v>
      </c>
      <c r="K170" s="3" t="str">
        <f t="shared" si="26"/>
        <v>2022-Feb</v>
      </c>
      <c r="L170" s="8">
        <f t="shared" si="27"/>
        <v>1484.3899999999999</v>
      </c>
      <c r="M170" s="8">
        <f t="shared" si="28"/>
        <v>1111.962857142857</v>
      </c>
      <c r="N170" s="6">
        <f t="shared" si="29"/>
        <v>1.3349276825793257</v>
      </c>
      <c r="O170" s="8">
        <f t="shared" si="30"/>
        <v>680.2299999999999</v>
      </c>
      <c r="P170" s="6">
        <f t="shared" si="31"/>
        <v>1.1821883774605648</v>
      </c>
      <c r="Q170" s="3" t="str">
        <f t="shared" si="32"/>
        <v>Growing</v>
      </c>
      <c r="R170" s="3">
        <f>IF(COUNTIFS($C$2:C170,C170,$J$2:J170,J170)=1,1,0)</f>
        <v>0</v>
      </c>
    </row>
    <row r="171" spans="1:18">
      <c r="A171" s="1">
        <v>44735</v>
      </c>
      <c r="B171" t="s">
        <v>18</v>
      </c>
      <c r="C171" t="s">
        <v>24</v>
      </c>
      <c r="D171">
        <v>11</v>
      </c>
      <c r="E171">
        <v>166.88</v>
      </c>
      <c r="F171" t="s">
        <v>8</v>
      </c>
      <c r="G171">
        <f t="shared" si="22"/>
        <v>2022</v>
      </c>
      <c r="H171" s="3" t="str">
        <f t="shared" si="23"/>
        <v>Jun</v>
      </c>
      <c r="I171" s="8">
        <f t="shared" si="24"/>
        <v>6</v>
      </c>
      <c r="J171" s="4">
        <f t="shared" si="25"/>
        <v>44713</v>
      </c>
      <c r="K171" s="3" t="str">
        <f t="shared" si="26"/>
        <v>2022-Jun</v>
      </c>
      <c r="L171" s="8">
        <f t="shared" si="27"/>
        <v>704.09</v>
      </c>
      <c r="M171" s="8">
        <f t="shared" si="28"/>
        <v>1642.4496666666664</v>
      </c>
      <c r="N171" s="6">
        <f t="shared" si="29"/>
        <v>0.42868284751090302</v>
      </c>
      <c r="O171" s="8">
        <f t="shared" si="30"/>
        <v>791.69999999999993</v>
      </c>
      <c r="P171" s="6">
        <f t="shared" si="31"/>
        <v>-0.11066060376405193</v>
      </c>
      <c r="Q171" s="3" t="str">
        <f t="shared" si="32"/>
        <v>Degrowing</v>
      </c>
      <c r="R171" s="3">
        <f>IF(COUNTIFS($C$2:C171,C171,$J$2:J171,J171)=1,1,0)</f>
        <v>1</v>
      </c>
    </row>
    <row r="172" spans="1:18">
      <c r="A172" s="1">
        <v>44686</v>
      </c>
      <c r="B172" t="s">
        <v>6</v>
      </c>
      <c r="C172" t="s">
        <v>19</v>
      </c>
      <c r="D172">
        <v>2</v>
      </c>
      <c r="E172">
        <v>29.69</v>
      </c>
      <c r="F172" t="s">
        <v>22</v>
      </c>
      <c r="G172">
        <f t="shared" si="22"/>
        <v>2022</v>
      </c>
      <c r="H172" s="3" t="str">
        <f t="shared" si="23"/>
        <v>May</v>
      </c>
      <c r="I172" s="8">
        <f t="shared" si="24"/>
        <v>5</v>
      </c>
      <c r="J172" s="4">
        <f t="shared" si="25"/>
        <v>44682</v>
      </c>
      <c r="K172" s="3" t="str">
        <f t="shared" si="26"/>
        <v>2022-May</v>
      </c>
      <c r="L172" s="8">
        <f t="shared" si="27"/>
        <v>1584.09</v>
      </c>
      <c r="M172" s="8">
        <f t="shared" si="28"/>
        <v>709.47177777777802</v>
      </c>
      <c r="N172" s="6">
        <f t="shared" si="29"/>
        <v>2.2327738038597094</v>
      </c>
      <c r="O172" s="8">
        <f t="shared" si="30"/>
        <v>377.24</v>
      </c>
      <c r="P172" s="6">
        <f t="shared" si="31"/>
        <v>3.1991570353090868</v>
      </c>
      <c r="Q172" s="3" t="str">
        <f t="shared" si="32"/>
        <v>Growing</v>
      </c>
      <c r="R172" s="3">
        <f>IF(COUNTIFS($C$2:C172,C172,$J$2:J172,J172)=1,1,0)</f>
        <v>0</v>
      </c>
    </row>
    <row r="173" spans="1:18">
      <c r="A173" s="1">
        <v>44675</v>
      </c>
      <c r="B173" t="s">
        <v>21</v>
      </c>
      <c r="C173" t="s">
        <v>10</v>
      </c>
      <c r="D173">
        <v>13</v>
      </c>
      <c r="E173">
        <v>193.09</v>
      </c>
      <c r="F173" t="s">
        <v>11</v>
      </c>
      <c r="G173">
        <f t="shared" si="22"/>
        <v>2022</v>
      </c>
      <c r="H173" s="3" t="str">
        <f t="shared" si="23"/>
        <v>Apr</v>
      </c>
      <c r="I173" s="8">
        <f t="shared" si="24"/>
        <v>4</v>
      </c>
      <c r="J173" s="4">
        <f t="shared" si="25"/>
        <v>44652</v>
      </c>
      <c r="K173" s="3" t="str">
        <f t="shared" si="26"/>
        <v>2022-Apr</v>
      </c>
      <c r="L173" s="8">
        <f t="shared" si="27"/>
        <v>2185.4700000000003</v>
      </c>
      <c r="M173" s="8">
        <f t="shared" si="28"/>
        <v>841.31976923076911</v>
      </c>
      <c r="N173" s="6">
        <f t="shared" si="29"/>
        <v>2.5976686628892689</v>
      </c>
      <c r="O173" s="8">
        <f t="shared" si="30"/>
        <v>274.01</v>
      </c>
      <c r="P173" s="6">
        <f t="shared" si="31"/>
        <v>6.9758767928177816</v>
      </c>
      <c r="Q173" s="3" t="str">
        <f t="shared" si="32"/>
        <v>Growing</v>
      </c>
      <c r="R173" s="3">
        <f>IF(COUNTIFS($C$2:C173,C173,$J$2:J173,J173)=1,1,0)</f>
        <v>0</v>
      </c>
    </row>
    <row r="174" spans="1:18">
      <c r="A174" s="1">
        <v>44738</v>
      </c>
      <c r="B174" t="s">
        <v>21</v>
      </c>
      <c r="C174" t="s">
        <v>10</v>
      </c>
      <c r="D174">
        <v>16</v>
      </c>
      <c r="E174">
        <v>276.52999999999997</v>
      </c>
      <c r="F174" t="s">
        <v>22</v>
      </c>
      <c r="G174">
        <f t="shared" si="22"/>
        <v>2022</v>
      </c>
      <c r="H174" s="3" t="str">
        <f t="shared" si="23"/>
        <v>Jun</v>
      </c>
      <c r="I174" s="8">
        <f t="shared" si="24"/>
        <v>6</v>
      </c>
      <c r="J174" s="4">
        <f t="shared" si="25"/>
        <v>44713</v>
      </c>
      <c r="K174" s="3" t="str">
        <f t="shared" si="26"/>
        <v>2022-Jun</v>
      </c>
      <c r="L174" s="8">
        <f t="shared" si="27"/>
        <v>761.09999999999991</v>
      </c>
      <c r="M174" s="8">
        <f t="shared" si="28"/>
        <v>1402.1996153846153</v>
      </c>
      <c r="N174" s="6">
        <f t="shared" si="29"/>
        <v>0.54279005046741124</v>
      </c>
      <c r="O174" s="8">
        <f t="shared" si="30"/>
        <v>2645.1499999999996</v>
      </c>
      <c r="P174" s="6">
        <f t="shared" si="31"/>
        <v>-0.71226584503714341</v>
      </c>
      <c r="Q174" s="3" t="str">
        <f t="shared" si="32"/>
        <v>Degrowing</v>
      </c>
      <c r="R174" s="3">
        <f>IF(COUNTIFS($C$2:C174,C174,$J$2:J174,J174)=1,1,0)</f>
        <v>0</v>
      </c>
    </row>
    <row r="175" spans="1:18">
      <c r="A175" s="1">
        <v>44794</v>
      </c>
      <c r="B175" t="s">
        <v>6</v>
      </c>
      <c r="C175" t="s">
        <v>10</v>
      </c>
      <c r="D175">
        <v>2</v>
      </c>
      <c r="E175">
        <v>49.91</v>
      </c>
      <c r="F175" t="s">
        <v>8</v>
      </c>
      <c r="G175">
        <f t="shared" si="22"/>
        <v>2022</v>
      </c>
      <c r="H175" s="3" t="str">
        <f t="shared" si="23"/>
        <v>Aug</v>
      </c>
      <c r="I175" s="8">
        <f t="shared" si="24"/>
        <v>8</v>
      </c>
      <c r="J175" s="4">
        <f t="shared" si="25"/>
        <v>44774</v>
      </c>
      <c r="K175" s="3" t="str">
        <f t="shared" si="26"/>
        <v>2022-Aug</v>
      </c>
      <c r="L175" s="8">
        <f t="shared" si="27"/>
        <v>1721.52</v>
      </c>
      <c r="M175" s="8">
        <f t="shared" si="28"/>
        <v>841.31976923076911</v>
      </c>
      <c r="N175" s="6">
        <f t="shared" si="29"/>
        <v>2.046213654974506</v>
      </c>
      <c r="O175" s="8">
        <f t="shared" si="30"/>
        <v>1166.76</v>
      </c>
      <c r="P175" s="6">
        <f t="shared" si="31"/>
        <v>0.47547053378586857</v>
      </c>
      <c r="Q175" s="3" t="str">
        <f t="shared" si="32"/>
        <v>Growing</v>
      </c>
      <c r="R175" s="3">
        <f>IF(COUNTIFS($C$2:C175,C175,$J$2:J175,J175)=1,1,0)</f>
        <v>0</v>
      </c>
    </row>
    <row r="176" spans="1:18">
      <c r="A176" s="1">
        <v>44737</v>
      </c>
      <c r="B176" t="s">
        <v>15</v>
      </c>
      <c r="C176" t="s">
        <v>24</v>
      </c>
      <c r="D176">
        <v>16</v>
      </c>
      <c r="E176">
        <v>131.88</v>
      </c>
      <c r="F176" t="s">
        <v>8</v>
      </c>
      <c r="G176">
        <f t="shared" si="22"/>
        <v>2022</v>
      </c>
      <c r="H176" s="3" t="str">
        <f t="shared" si="23"/>
        <v>Jun</v>
      </c>
      <c r="I176" s="8">
        <f t="shared" si="24"/>
        <v>6</v>
      </c>
      <c r="J176" s="4">
        <f t="shared" si="25"/>
        <v>44713</v>
      </c>
      <c r="K176" s="3" t="str">
        <f t="shared" si="26"/>
        <v>2022-Jun</v>
      </c>
      <c r="L176" s="8">
        <f t="shared" si="27"/>
        <v>704.09</v>
      </c>
      <c r="M176" s="8">
        <f t="shared" si="28"/>
        <v>1642.4496666666664</v>
      </c>
      <c r="N176" s="6">
        <f t="shared" si="29"/>
        <v>0.42868284751090302</v>
      </c>
      <c r="O176" s="8">
        <f t="shared" si="30"/>
        <v>791.69999999999993</v>
      </c>
      <c r="P176" s="6">
        <f t="shared" si="31"/>
        <v>-0.11066060376405193</v>
      </c>
      <c r="Q176" s="3" t="str">
        <f t="shared" si="32"/>
        <v>Degrowing</v>
      </c>
      <c r="R176" s="3">
        <f>IF(COUNTIFS($C$2:C176,C176,$J$2:J176,J176)=1,1,0)</f>
        <v>0</v>
      </c>
    </row>
    <row r="177" spans="1:18">
      <c r="A177" s="1">
        <v>44600</v>
      </c>
      <c r="B177" t="s">
        <v>17</v>
      </c>
      <c r="C177" t="s">
        <v>23</v>
      </c>
      <c r="D177">
        <v>16</v>
      </c>
      <c r="E177">
        <v>306.63</v>
      </c>
      <c r="F177" t="s">
        <v>11</v>
      </c>
      <c r="G177">
        <f t="shared" si="22"/>
        <v>2022</v>
      </c>
      <c r="H177" s="3" t="str">
        <f t="shared" si="23"/>
        <v>Feb</v>
      </c>
      <c r="I177" s="8">
        <f t="shared" si="24"/>
        <v>2</v>
      </c>
      <c r="J177" s="4">
        <f t="shared" si="25"/>
        <v>44593</v>
      </c>
      <c r="K177" s="3" t="str">
        <f t="shared" si="26"/>
        <v>2022-Feb</v>
      </c>
      <c r="L177" s="8">
        <f t="shared" si="27"/>
        <v>1770.3600000000001</v>
      </c>
      <c r="M177" s="8">
        <f t="shared" si="28"/>
        <v>1052.2460454545458</v>
      </c>
      <c r="N177" s="6">
        <f t="shared" si="29"/>
        <v>1.6824582117913742</v>
      </c>
      <c r="O177" s="8">
        <f t="shared" si="30"/>
        <v>241.89999999999998</v>
      </c>
      <c r="P177" s="6">
        <f t="shared" si="31"/>
        <v>6.3185613890037216</v>
      </c>
      <c r="Q177" s="3" t="str">
        <f t="shared" si="32"/>
        <v>Growing</v>
      </c>
      <c r="R177" s="3">
        <f>IF(COUNTIFS($C$2:C177,C177,$J$2:J177,J177)=1,1,0)</f>
        <v>0</v>
      </c>
    </row>
    <row r="178" spans="1:18">
      <c r="A178" s="1">
        <v>44753</v>
      </c>
      <c r="B178" t="s">
        <v>21</v>
      </c>
      <c r="C178" t="s">
        <v>13</v>
      </c>
      <c r="D178">
        <v>8</v>
      </c>
      <c r="E178">
        <v>162.66999999999999</v>
      </c>
      <c r="F178" t="s">
        <v>11</v>
      </c>
      <c r="G178">
        <f t="shared" si="22"/>
        <v>2022</v>
      </c>
      <c r="H178" s="3" t="str">
        <f t="shared" si="23"/>
        <v>Jul</v>
      </c>
      <c r="I178" s="8">
        <f t="shared" si="24"/>
        <v>7</v>
      </c>
      <c r="J178" s="4">
        <f t="shared" si="25"/>
        <v>44743</v>
      </c>
      <c r="K178" s="3" t="str">
        <f t="shared" si="26"/>
        <v>2022-Jul</v>
      </c>
      <c r="L178" s="8">
        <f t="shared" si="27"/>
        <v>1653.05</v>
      </c>
      <c r="M178" s="8">
        <f t="shared" si="28"/>
        <v>842.75439393939394</v>
      </c>
      <c r="N178" s="6">
        <f t="shared" si="29"/>
        <v>1.9614848784981569</v>
      </c>
      <c r="O178" s="8">
        <f t="shared" si="30"/>
        <v>585.20999999999992</v>
      </c>
      <c r="P178" s="6">
        <f t="shared" si="31"/>
        <v>1.8247124963688253</v>
      </c>
      <c r="Q178" s="3" t="str">
        <f t="shared" si="32"/>
        <v>Growing</v>
      </c>
      <c r="R178" s="3">
        <f>IF(COUNTIFS($C$2:C178,C178,$J$2:J178,J178)=1,1,0)</f>
        <v>0</v>
      </c>
    </row>
    <row r="179" spans="1:18">
      <c r="A179" s="1">
        <v>44766</v>
      </c>
      <c r="B179" t="s">
        <v>21</v>
      </c>
      <c r="C179" t="s">
        <v>19</v>
      </c>
      <c r="D179">
        <v>20</v>
      </c>
      <c r="E179">
        <v>216.6</v>
      </c>
      <c r="F179" t="s">
        <v>22</v>
      </c>
      <c r="G179">
        <f t="shared" si="22"/>
        <v>2022</v>
      </c>
      <c r="H179" s="3" t="str">
        <f t="shared" si="23"/>
        <v>Jul</v>
      </c>
      <c r="I179" s="8">
        <f t="shared" si="24"/>
        <v>7</v>
      </c>
      <c r="J179" s="4">
        <f t="shared" si="25"/>
        <v>44743</v>
      </c>
      <c r="K179" s="3" t="str">
        <f t="shared" si="26"/>
        <v>2022-Jul</v>
      </c>
      <c r="L179" s="8">
        <f t="shared" si="27"/>
        <v>1767.0500000000002</v>
      </c>
      <c r="M179" s="8">
        <f t="shared" si="28"/>
        <v>709.47177777777802</v>
      </c>
      <c r="N179" s="6">
        <f t="shared" si="29"/>
        <v>2.4906558024545955</v>
      </c>
      <c r="O179" s="8">
        <f t="shared" si="30"/>
        <v>1655.98</v>
      </c>
      <c r="P179" s="6">
        <f t="shared" si="31"/>
        <v>6.7072066087754775E-2</v>
      </c>
      <c r="Q179" s="3" t="str">
        <f t="shared" si="32"/>
        <v>Growing</v>
      </c>
      <c r="R179" s="3">
        <f>IF(COUNTIFS($C$2:C179,C179,$J$2:J179,J179)=1,1,0)</f>
        <v>0</v>
      </c>
    </row>
    <row r="180" spans="1:18">
      <c r="A180" s="1">
        <v>44709</v>
      </c>
      <c r="B180" t="s">
        <v>9</v>
      </c>
      <c r="C180" t="s">
        <v>10</v>
      </c>
      <c r="D180">
        <v>20</v>
      </c>
      <c r="E180">
        <v>427.81</v>
      </c>
      <c r="F180" t="s">
        <v>16</v>
      </c>
      <c r="G180">
        <f t="shared" si="22"/>
        <v>2022</v>
      </c>
      <c r="H180" s="3" t="str">
        <f t="shared" si="23"/>
        <v>May</v>
      </c>
      <c r="I180" s="8">
        <f t="shared" si="24"/>
        <v>5</v>
      </c>
      <c r="J180" s="4">
        <f t="shared" si="25"/>
        <v>44682</v>
      </c>
      <c r="K180" s="3" t="str">
        <f t="shared" si="26"/>
        <v>2022-May</v>
      </c>
      <c r="L180" s="8">
        <f t="shared" si="27"/>
        <v>2645.1499999999996</v>
      </c>
      <c r="M180" s="8">
        <f t="shared" si="28"/>
        <v>764.83615384615382</v>
      </c>
      <c r="N180" s="6">
        <f t="shared" si="29"/>
        <v>3.4584531428048435</v>
      </c>
      <c r="O180" s="8">
        <f t="shared" si="30"/>
        <v>2185.4700000000003</v>
      </c>
      <c r="P180" s="6">
        <f t="shared" si="31"/>
        <v>0.21033461909795118</v>
      </c>
      <c r="Q180" s="3" t="str">
        <f t="shared" si="32"/>
        <v>Growing</v>
      </c>
      <c r="R180" s="3">
        <f>IF(COUNTIFS($C$2:C180,C180,$J$2:J180,J180)=1,1,0)</f>
        <v>0</v>
      </c>
    </row>
    <row r="181" spans="1:18">
      <c r="A181" s="1">
        <v>44706</v>
      </c>
      <c r="B181" t="s">
        <v>18</v>
      </c>
      <c r="C181" t="s">
        <v>19</v>
      </c>
      <c r="D181">
        <v>5</v>
      </c>
      <c r="E181">
        <v>79.489999999999995</v>
      </c>
      <c r="F181" t="s">
        <v>8</v>
      </c>
      <c r="G181">
        <f t="shared" si="22"/>
        <v>2022</v>
      </c>
      <c r="H181" s="3" t="str">
        <f t="shared" si="23"/>
        <v>May</v>
      </c>
      <c r="I181" s="8">
        <f t="shared" si="24"/>
        <v>5</v>
      </c>
      <c r="J181" s="4">
        <f t="shared" si="25"/>
        <v>44682</v>
      </c>
      <c r="K181" s="3" t="str">
        <f t="shared" si="26"/>
        <v>2022-May</v>
      </c>
      <c r="L181" s="8">
        <f t="shared" si="27"/>
        <v>1584.09</v>
      </c>
      <c r="M181" s="8">
        <f t="shared" si="28"/>
        <v>709.47177777777802</v>
      </c>
      <c r="N181" s="6">
        <f t="shared" si="29"/>
        <v>2.2327738038597094</v>
      </c>
      <c r="O181" s="8">
        <f t="shared" si="30"/>
        <v>377.24</v>
      </c>
      <c r="P181" s="6">
        <f t="shared" si="31"/>
        <v>3.1991570353090868</v>
      </c>
      <c r="Q181" s="3" t="str">
        <f t="shared" si="32"/>
        <v>Growing</v>
      </c>
      <c r="R181" s="3">
        <f>IF(COUNTIFS($C$2:C181,C181,$J$2:J181,J181)=1,1,0)</f>
        <v>0</v>
      </c>
    </row>
    <row r="182" spans="1:18">
      <c r="A182" s="1">
        <v>44728</v>
      </c>
      <c r="B182" t="s">
        <v>18</v>
      </c>
      <c r="C182" t="s">
        <v>7</v>
      </c>
      <c r="D182">
        <v>16</v>
      </c>
      <c r="E182">
        <v>300.37</v>
      </c>
      <c r="F182" t="s">
        <v>14</v>
      </c>
      <c r="G182">
        <f t="shared" si="22"/>
        <v>2022</v>
      </c>
      <c r="H182" s="3" t="str">
        <f t="shared" si="23"/>
        <v>Jun</v>
      </c>
      <c r="I182" s="8">
        <f t="shared" si="24"/>
        <v>6</v>
      </c>
      <c r="J182" s="4">
        <f t="shared" si="25"/>
        <v>44713</v>
      </c>
      <c r="K182" s="3" t="str">
        <f t="shared" si="26"/>
        <v>2022-Jun</v>
      </c>
      <c r="L182" s="8">
        <f t="shared" si="27"/>
        <v>1013.7</v>
      </c>
      <c r="M182" s="8">
        <f t="shared" si="28"/>
        <v>862.01874999999984</v>
      </c>
      <c r="N182" s="6">
        <f t="shared" si="29"/>
        <v>1.1759604996991078</v>
      </c>
      <c r="O182" s="8">
        <f t="shared" si="30"/>
        <v>459.62</v>
      </c>
      <c r="P182" s="6">
        <f t="shared" si="31"/>
        <v>1.2055176014968889</v>
      </c>
      <c r="Q182" s="3" t="str">
        <f t="shared" si="32"/>
        <v>Growing</v>
      </c>
      <c r="R182" s="3">
        <f>IF(COUNTIFS($C$2:C182,C182,$J$2:J182,J182)=1,1,0)</f>
        <v>0</v>
      </c>
    </row>
    <row r="183" spans="1:18">
      <c r="A183" s="1">
        <v>44610</v>
      </c>
      <c r="B183" t="s">
        <v>17</v>
      </c>
      <c r="C183" t="s">
        <v>7</v>
      </c>
      <c r="D183">
        <v>3</v>
      </c>
      <c r="E183">
        <v>73.09</v>
      </c>
      <c r="F183" t="s">
        <v>11</v>
      </c>
      <c r="G183">
        <f t="shared" si="22"/>
        <v>2022</v>
      </c>
      <c r="H183" s="3" t="str">
        <f t="shared" si="23"/>
        <v>Feb</v>
      </c>
      <c r="I183" s="8">
        <f t="shared" si="24"/>
        <v>2</v>
      </c>
      <c r="J183" s="4">
        <f t="shared" si="25"/>
        <v>44593</v>
      </c>
      <c r="K183" s="3" t="str">
        <f t="shared" si="26"/>
        <v>2022-Feb</v>
      </c>
      <c r="L183" s="8">
        <f t="shared" si="27"/>
        <v>837.85</v>
      </c>
      <c r="M183" s="8">
        <f t="shared" si="28"/>
        <v>862.01874999999984</v>
      </c>
      <c r="N183" s="6">
        <f t="shared" si="29"/>
        <v>0.97196261682243013</v>
      </c>
      <c r="O183" s="8">
        <f t="shared" si="30"/>
        <v>656.7700000000001</v>
      </c>
      <c r="P183" s="6">
        <f t="shared" si="31"/>
        <v>0.27571295887449165</v>
      </c>
      <c r="Q183" s="3" t="str">
        <f t="shared" si="32"/>
        <v>Growing</v>
      </c>
      <c r="R183" s="3">
        <f>IF(COUNTIFS($C$2:C183,C183,$J$2:J183,J183)=1,1,0)</f>
        <v>0</v>
      </c>
    </row>
    <row r="184" spans="1:18">
      <c r="A184" s="1">
        <v>44675</v>
      </c>
      <c r="B184" t="s">
        <v>6</v>
      </c>
      <c r="C184" t="s">
        <v>19</v>
      </c>
      <c r="D184">
        <v>11</v>
      </c>
      <c r="E184">
        <v>125.38</v>
      </c>
      <c r="F184" t="s">
        <v>16</v>
      </c>
      <c r="G184">
        <f t="shared" si="22"/>
        <v>2022</v>
      </c>
      <c r="H184" s="3" t="str">
        <f t="shared" si="23"/>
        <v>Apr</v>
      </c>
      <c r="I184" s="8">
        <f t="shared" si="24"/>
        <v>4</v>
      </c>
      <c r="J184" s="4">
        <f t="shared" si="25"/>
        <v>44652</v>
      </c>
      <c r="K184" s="3" t="str">
        <f t="shared" si="26"/>
        <v>2022-Apr</v>
      </c>
      <c r="L184" s="8">
        <f t="shared" si="27"/>
        <v>377.24</v>
      </c>
      <c r="M184" s="8">
        <f t="shared" si="28"/>
        <v>2364.905925925927</v>
      </c>
      <c r="N184" s="6">
        <f t="shared" si="29"/>
        <v>0.15951585890347836</v>
      </c>
      <c r="O184" s="8">
        <f t="shared" si="30"/>
        <v>1095.8999999999999</v>
      </c>
      <c r="P184" s="6">
        <f t="shared" si="31"/>
        <v>-0.65577151199926997</v>
      </c>
      <c r="Q184" s="3" t="str">
        <f t="shared" si="32"/>
        <v>Degrowing</v>
      </c>
      <c r="R184" s="3">
        <f>IF(COUNTIFS($C$2:C184,C184,$J$2:J184,J184)=1,1,0)</f>
        <v>0</v>
      </c>
    </row>
    <row r="185" spans="1:18">
      <c r="A185" s="1">
        <v>44699</v>
      </c>
      <c r="B185" t="s">
        <v>9</v>
      </c>
      <c r="C185" t="s">
        <v>10</v>
      </c>
      <c r="D185">
        <v>15</v>
      </c>
      <c r="E185">
        <v>155.47999999999999</v>
      </c>
      <c r="F185" t="s">
        <v>16</v>
      </c>
      <c r="G185">
        <f t="shared" si="22"/>
        <v>2022</v>
      </c>
      <c r="H185" s="3" t="str">
        <f t="shared" si="23"/>
        <v>May</v>
      </c>
      <c r="I185" s="8">
        <f t="shared" si="24"/>
        <v>5</v>
      </c>
      <c r="J185" s="4">
        <f t="shared" si="25"/>
        <v>44682</v>
      </c>
      <c r="K185" s="3" t="str">
        <f t="shared" si="26"/>
        <v>2022-May</v>
      </c>
      <c r="L185" s="8">
        <f t="shared" si="27"/>
        <v>2645.1499999999996</v>
      </c>
      <c r="M185" s="8">
        <f t="shared" si="28"/>
        <v>764.83615384615382</v>
      </c>
      <c r="N185" s="6">
        <f t="shared" si="29"/>
        <v>3.4584531428048435</v>
      </c>
      <c r="O185" s="8">
        <f t="shared" si="30"/>
        <v>2185.4700000000003</v>
      </c>
      <c r="P185" s="6">
        <f t="shared" si="31"/>
        <v>0.21033461909795118</v>
      </c>
      <c r="Q185" s="3" t="str">
        <f t="shared" si="32"/>
        <v>Growing</v>
      </c>
      <c r="R185" s="3">
        <f>IF(COUNTIFS($C$2:C185,C185,$J$2:J185,J185)=1,1,0)</f>
        <v>0</v>
      </c>
    </row>
    <row r="186" spans="1:18">
      <c r="A186" s="1">
        <v>44756</v>
      </c>
      <c r="B186" t="s">
        <v>12</v>
      </c>
      <c r="C186" t="s">
        <v>13</v>
      </c>
      <c r="D186">
        <v>16</v>
      </c>
      <c r="E186">
        <v>340.68</v>
      </c>
      <c r="F186" t="s">
        <v>14</v>
      </c>
      <c r="G186">
        <f t="shared" si="22"/>
        <v>2022</v>
      </c>
      <c r="H186" s="3" t="str">
        <f t="shared" si="23"/>
        <v>Jul</v>
      </c>
      <c r="I186" s="8">
        <f t="shared" si="24"/>
        <v>7</v>
      </c>
      <c r="J186" s="4">
        <f t="shared" si="25"/>
        <v>44743</v>
      </c>
      <c r="K186" s="3" t="str">
        <f t="shared" si="26"/>
        <v>2022-Jul</v>
      </c>
      <c r="L186" s="8">
        <f t="shared" si="27"/>
        <v>1653.05</v>
      </c>
      <c r="M186" s="8">
        <f t="shared" si="28"/>
        <v>842.75439393939394</v>
      </c>
      <c r="N186" s="6">
        <f t="shared" si="29"/>
        <v>1.9614848784981569</v>
      </c>
      <c r="O186" s="8">
        <f t="shared" si="30"/>
        <v>585.20999999999992</v>
      </c>
      <c r="P186" s="6">
        <f t="shared" si="31"/>
        <v>1.8247124963688253</v>
      </c>
      <c r="Q186" s="3" t="str">
        <f t="shared" si="32"/>
        <v>Growing</v>
      </c>
      <c r="R186" s="3">
        <f>IF(COUNTIFS($C$2:C186,C186,$J$2:J186,J186)=1,1,0)</f>
        <v>0</v>
      </c>
    </row>
    <row r="187" spans="1:18">
      <c r="A187" s="1">
        <v>44765</v>
      </c>
      <c r="B187" t="s">
        <v>6</v>
      </c>
      <c r="C187" t="s">
        <v>7</v>
      </c>
      <c r="D187">
        <v>5</v>
      </c>
      <c r="E187">
        <v>49.44</v>
      </c>
      <c r="F187" t="s">
        <v>8</v>
      </c>
      <c r="G187">
        <f t="shared" si="22"/>
        <v>2022</v>
      </c>
      <c r="H187" s="3" t="str">
        <f t="shared" si="23"/>
        <v>Jul</v>
      </c>
      <c r="I187" s="8">
        <f t="shared" si="24"/>
        <v>7</v>
      </c>
      <c r="J187" s="4">
        <f t="shared" si="25"/>
        <v>44743</v>
      </c>
      <c r="K187" s="3" t="str">
        <f t="shared" si="26"/>
        <v>2022-Jul</v>
      </c>
      <c r="L187" s="8">
        <f t="shared" si="27"/>
        <v>537.31000000000006</v>
      </c>
      <c r="M187" s="8">
        <f t="shared" si="28"/>
        <v>862.01874999999984</v>
      </c>
      <c r="N187" s="6">
        <f t="shared" si="29"/>
        <v>0.62331590815165006</v>
      </c>
      <c r="O187" s="8">
        <f t="shared" si="30"/>
        <v>1013.7</v>
      </c>
      <c r="P187" s="6">
        <f t="shared" si="31"/>
        <v>-0.46995166222748347</v>
      </c>
      <c r="Q187" s="3" t="str">
        <f t="shared" si="32"/>
        <v>Degrowing</v>
      </c>
      <c r="R187" s="3">
        <f>IF(COUNTIFS($C$2:C187,C187,$J$2:J187,J187)=1,1,0)</f>
        <v>0</v>
      </c>
    </row>
    <row r="188" spans="1:18">
      <c r="A188" s="1">
        <v>44744</v>
      </c>
      <c r="B188" t="s">
        <v>9</v>
      </c>
      <c r="C188" t="s">
        <v>23</v>
      </c>
      <c r="D188">
        <v>14</v>
      </c>
      <c r="E188">
        <v>344.7</v>
      </c>
      <c r="F188" t="s">
        <v>16</v>
      </c>
      <c r="G188">
        <f t="shared" si="22"/>
        <v>2022</v>
      </c>
      <c r="H188" s="3" t="str">
        <f t="shared" si="23"/>
        <v>Jul</v>
      </c>
      <c r="I188" s="8">
        <f t="shared" si="24"/>
        <v>7</v>
      </c>
      <c r="J188" s="4">
        <f t="shared" si="25"/>
        <v>44743</v>
      </c>
      <c r="K188" s="3" t="str">
        <f t="shared" si="26"/>
        <v>2022-Jul</v>
      </c>
      <c r="L188" s="8">
        <f t="shared" si="27"/>
        <v>1698.9899999999998</v>
      </c>
      <c r="M188" s="8">
        <f t="shared" si="28"/>
        <v>1202.5669090909096</v>
      </c>
      <c r="N188" s="6">
        <f t="shared" si="29"/>
        <v>1.4128028861898132</v>
      </c>
      <c r="O188" s="8">
        <f t="shared" si="30"/>
        <v>2252.73</v>
      </c>
      <c r="P188" s="6">
        <f t="shared" si="31"/>
        <v>-0.24580841911813675</v>
      </c>
      <c r="Q188" s="3" t="str">
        <f t="shared" si="32"/>
        <v>Degrowing</v>
      </c>
      <c r="R188" s="3">
        <f>IF(COUNTIFS($C$2:C188,C188,$J$2:J188,J188)=1,1,0)</f>
        <v>0</v>
      </c>
    </row>
    <row r="189" spans="1:18">
      <c r="A189" s="1">
        <v>44748</v>
      </c>
      <c r="B189" t="s">
        <v>17</v>
      </c>
      <c r="C189" t="s">
        <v>7</v>
      </c>
      <c r="D189">
        <v>5</v>
      </c>
      <c r="E189">
        <v>95.03</v>
      </c>
      <c r="F189" t="s">
        <v>8</v>
      </c>
      <c r="G189">
        <f t="shared" si="22"/>
        <v>2022</v>
      </c>
      <c r="H189" s="3" t="str">
        <f t="shared" si="23"/>
        <v>Jul</v>
      </c>
      <c r="I189" s="8">
        <f t="shared" si="24"/>
        <v>7</v>
      </c>
      <c r="J189" s="4">
        <f t="shared" si="25"/>
        <v>44743</v>
      </c>
      <c r="K189" s="3" t="str">
        <f t="shared" si="26"/>
        <v>2022-Jul</v>
      </c>
      <c r="L189" s="8">
        <f t="shared" si="27"/>
        <v>537.31000000000006</v>
      </c>
      <c r="M189" s="8">
        <f t="shared" si="28"/>
        <v>862.01874999999984</v>
      </c>
      <c r="N189" s="6">
        <f t="shared" si="29"/>
        <v>0.62331590815165006</v>
      </c>
      <c r="O189" s="8">
        <f t="shared" si="30"/>
        <v>1013.7</v>
      </c>
      <c r="P189" s="6">
        <f t="shared" si="31"/>
        <v>-0.46995166222748347</v>
      </c>
      <c r="Q189" s="3" t="str">
        <f t="shared" si="32"/>
        <v>Degrowing</v>
      </c>
      <c r="R189" s="3">
        <f>IF(COUNTIFS($C$2:C189,C189,$J$2:J189,J189)=1,1,0)</f>
        <v>0</v>
      </c>
    </row>
    <row r="190" spans="1:18">
      <c r="A190" s="1">
        <v>44673</v>
      </c>
      <c r="B190" t="s">
        <v>17</v>
      </c>
      <c r="C190" t="s">
        <v>20</v>
      </c>
      <c r="D190">
        <v>3</v>
      </c>
      <c r="E190">
        <v>52.4</v>
      </c>
      <c r="F190" t="s">
        <v>16</v>
      </c>
      <c r="G190">
        <f t="shared" si="22"/>
        <v>2022</v>
      </c>
      <c r="H190" s="3" t="str">
        <f t="shared" si="23"/>
        <v>Apr</v>
      </c>
      <c r="I190" s="8">
        <f t="shared" si="24"/>
        <v>4</v>
      </c>
      <c r="J190" s="4">
        <f t="shared" si="25"/>
        <v>44652</v>
      </c>
      <c r="K190" s="3" t="str">
        <f t="shared" si="26"/>
        <v>2022-Apr</v>
      </c>
      <c r="L190" s="8">
        <f t="shared" si="27"/>
        <v>740.37</v>
      </c>
      <c r="M190" s="8">
        <f t="shared" si="28"/>
        <v>1556.7479999999998</v>
      </c>
      <c r="N190" s="6">
        <f t="shared" si="29"/>
        <v>0.47558757101342036</v>
      </c>
      <c r="O190" s="8">
        <f t="shared" si="30"/>
        <v>690.2</v>
      </c>
      <c r="P190" s="6">
        <f t="shared" si="31"/>
        <v>7.2689075630252037E-2</v>
      </c>
      <c r="Q190" s="3" t="str">
        <f t="shared" si="32"/>
        <v>Growing</v>
      </c>
      <c r="R190" s="3">
        <f>IF(COUNTIFS($C$2:C190,C190,$J$2:J190,J190)=1,1,0)</f>
        <v>0</v>
      </c>
    </row>
    <row r="191" spans="1:18">
      <c r="A191" s="1">
        <v>44677</v>
      </c>
      <c r="B191" t="s">
        <v>18</v>
      </c>
      <c r="C191" t="s">
        <v>10</v>
      </c>
      <c r="D191">
        <v>5</v>
      </c>
      <c r="E191">
        <v>106.94</v>
      </c>
      <c r="F191" t="s">
        <v>16</v>
      </c>
      <c r="G191">
        <f t="shared" si="22"/>
        <v>2022</v>
      </c>
      <c r="H191" s="3" t="str">
        <f t="shared" si="23"/>
        <v>Apr</v>
      </c>
      <c r="I191" s="8">
        <f t="shared" si="24"/>
        <v>4</v>
      </c>
      <c r="J191" s="4">
        <f t="shared" si="25"/>
        <v>44652</v>
      </c>
      <c r="K191" s="3" t="str">
        <f t="shared" si="26"/>
        <v>2022-Apr</v>
      </c>
      <c r="L191" s="8">
        <f t="shared" si="27"/>
        <v>2185.4700000000003</v>
      </c>
      <c r="M191" s="8">
        <f t="shared" si="28"/>
        <v>841.31976923076911</v>
      </c>
      <c r="N191" s="6">
        <f t="shared" si="29"/>
        <v>2.5976686628892689</v>
      </c>
      <c r="O191" s="8">
        <f t="shared" si="30"/>
        <v>274.01</v>
      </c>
      <c r="P191" s="6">
        <f t="shared" si="31"/>
        <v>6.9758767928177816</v>
      </c>
      <c r="Q191" s="3" t="str">
        <f t="shared" si="32"/>
        <v>Growing</v>
      </c>
      <c r="R191" s="3">
        <f>IF(COUNTIFS($C$2:C191,C191,$J$2:J191,J191)=1,1,0)</f>
        <v>0</v>
      </c>
    </row>
    <row r="192" spans="1:18">
      <c r="A192" s="1">
        <v>44645</v>
      </c>
      <c r="B192" t="s">
        <v>9</v>
      </c>
      <c r="C192" t="s">
        <v>19</v>
      </c>
      <c r="D192">
        <v>5</v>
      </c>
      <c r="E192">
        <v>94.04</v>
      </c>
      <c r="F192" t="s">
        <v>16</v>
      </c>
      <c r="G192">
        <f t="shared" si="22"/>
        <v>2022</v>
      </c>
      <c r="H192" s="3" t="str">
        <f t="shared" si="23"/>
        <v>Mar</v>
      </c>
      <c r="I192" s="8">
        <f t="shared" si="24"/>
        <v>3</v>
      </c>
      <c r="J192" s="4">
        <f t="shared" si="25"/>
        <v>44621</v>
      </c>
      <c r="K192" s="3" t="str">
        <f t="shared" si="26"/>
        <v>2022-Mar</v>
      </c>
      <c r="L192" s="8">
        <f t="shared" si="27"/>
        <v>1095.8999999999999</v>
      </c>
      <c r="M192" s="8">
        <f t="shared" si="28"/>
        <v>1418.943555555556</v>
      </c>
      <c r="N192" s="6">
        <f t="shared" si="29"/>
        <v>0.77233516140176861</v>
      </c>
      <c r="O192" s="8">
        <f t="shared" si="30"/>
        <v>519.11</v>
      </c>
      <c r="P192" s="6">
        <f t="shared" si="31"/>
        <v>1.1111132515266511</v>
      </c>
      <c r="Q192" s="3" t="str">
        <f t="shared" si="32"/>
        <v>Growing</v>
      </c>
      <c r="R192" s="3">
        <f>IF(COUNTIFS($C$2:C192,C192,$J$2:J192,J192)=1,1,0)</f>
        <v>0</v>
      </c>
    </row>
    <row r="193" spans="1:18">
      <c r="A193" s="1">
        <v>44567</v>
      </c>
      <c r="B193" t="s">
        <v>17</v>
      </c>
      <c r="C193" t="s">
        <v>20</v>
      </c>
      <c r="D193">
        <v>3</v>
      </c>
      <c r="E193">
        <v>54.15</v>
      </c>
      <c r="F193" t="s">
        <v>11</v>
      </c>
      <c r="G193">
        <f t="shared" si="22"/>
        <v>2022</v>
      </c>
      <c r="H193" s="3" t="str">
        <f t="shared" si="23"/>
        <v>Jan</v>
      </c>
      <c r="I193" s="8">
        <f t="shared" si="24"/>
        <v>1</v>
      </c>
      <c r="J193" s="4">
        <f t="shared" si="25"/>
        <v>44562</v>
      </c>
      <c r="K193" s="3" t="str">
        <f t="shared" si="26"/>
        <v>2022-Jan</v>
      </c>
      <c r="L193" s="8">
        <f t="shared" si="27"/>
        <v>680.2299999999999</v>
      </c>
      <c r="M193" s="8">
        <f t="shared" si="28"/>
        <v>1556.7479999999998</v>
      </c>
      <c r="N193" s="6">
        <f t="shared" si="29"/>
        <v>0.43695575648724133</v>
      </c>
      <c r="O193" s="8">
        <f t="shared" si="30"/>
        <v>0</v>
      </c>
      <c r="P193" s="6">
        <f t="shared" si="31"/>
        <v>0</v>
      </c>
      <c r="Q193" s="3" t="str">
        <f t="shared" si="32"/>
        <v>No Growth</v>
      </c>
      <c r="R193" s="3">
        <f>IF(COUNTIFS($C$2:C193,C193,$J$2:J193,J193)=1,1,0)</f>
        <v>0</v>
      </c>
    </row>
    <row r="194" spans="1:18">
      <c r="A194" s="1">
        <v>44681</v>
      </c>
      <c r="B194" t="s">
        <v>21</v>
      </c>
      <c r="C194" t="s">
        <v>13</v>
      </c>
      <c r="D194">
        <v>14</v>
      </c>
      <c r="E194">
        <v>115.82</v>
      </c>
      <c r="F194" t="s">
        <v>14</v>
      </c>
      <c r="G194">
        <f t="shared" si="22"/>
        <v>2022</v>
      </c>
      <c r="H194" s="3" t="str">
        <f t="shared" si="23"/>
        <v>Apr</v>
      </c>
      <c r="I194" s="8">
        <f t="shared" si="24"/>
        <v>4</v>
      </c>
      <c r="J194" s="4">
        <f t="shared" si="25"/>
        <v>44652</v>
      </c>
      <c r="K194" s="3" t="str">
        <f t="shared" si="26"/>
        <v>2022-Apr</v>
      </c>
      <c r="L194" s="8">
        <f t="shared" si="27"/>
        <v>972.89</v>
      </c>
      <c r="M194" s="8">
        <f t="shared" si="28"/>
        <v>1516.9579090909092</v>
      </c>
      <c r="N194" s="6">
        <f t="shared" si="29"/>
        <v>0.64134277831283981</v>
      </c>
      <c r="O194" s="8">
        <f t="shared" si="30"/>
        <v>522.87</v>
      </c>
      <c r="P194" s="6">
        <f t="shared" si="31"/>
        <v>0.86067282498517794</v>
      </c>
      <c r="Q194" s="3" t="str">
        <f t="shared" si="32"/>
        <v>Growing</v>
      </c>
      <c r="R194" s="3">
        <f>IF(COUNTIFS($C$2:C194,C194,$J$2:J194,J194)=1,1,0)</f>
        <v>0</v>
      </c>
    </row>
    <row r="195" spans="1:18">
      <c r="A195" s="1">
        <v>44731</v>
      </c>
      <c r="B195" t="s">
        <v>21</v>
      </c>
      <c r="C195" t="s">
        <v>23</v>
      </c>
      <c r="D195">
        <v>9</v>
      </c>
      <c r="E195">
        <v>204</v>
      </c>
      <c r="F195" t="s">
        <v>14</v>
      </c>
      <c r="G195">
        <f t="shared" ref="G195:G258" si="33">YEAR(A195)</f>
        <v>2022</v>
      </c>
      <c r="H195" s="3" t="str">
        <f t="shared" ref="H195:H258" si="34">TEXT(A195,"mmm")</f>
        <v>Jun</v>
      </c>
      <c r="I195" s="8">
        <f t="shared" ref="I195:I258" si="35">MONTH(A195)</f>
        <v>6</v>
      </c>
      <c r="J195" s="4">
        <f t="shared" ref="J195:J258" si="36">DATE(YEAR(A195),MONTH(A195),1)</f>
        <v>44713</v>
      </c>
      <c r="K195" s="3" t="str">
        <f t="shared" ref="K195:K258" si="37">TEXT(J195,"yyyy-mmm")</f>
        <v>2022-Jun</v>
      </c>
      <c r="L195" s="8">
        <f t="shared" ref="L195:L258" si="38">SUMIFS($E:$E,$C:$C,$C195,$J:$J,$J195)</f>
        <v>2252.73</v>
      </c>
      <c r="M195" s="8">
        <f t="shared" ref="M195:M258" si="39">AVERAGEIFS($E:$E,$C:$C,$C195)*7/COUNTIFS($C:$C,$C195,$I:$I,$I195)*6</f>
        <v>765.26985123966961</v>
      </c>
      <c r="N195" s="6">
        <f t="shared" ref="N195:N258" si="40">IFERROR(L195/M195,0)</f>
        <v>2.9437067151551526</v>
      </c>
      <c r="O195" s="8">
        <f t="shared" ref="O195:O258" si="41">SUMIFS($E:$E,$C:$C,$C195,$J:$J,EDATE(J195,-1))</f>
        <v>185.17000000000002</v>
      </c>
      <c r="P195" s="6">
        <f t="shared" ref="P195:P258" si="42">IFERROR((L195-O195)/O195,0)</f>
        <v>11.165739590646432</v>
      </c>
      <c r="Q195" s="3" t="str">
        <f t="shared" ref="Q195:Q258" si="43">IF(P195&gt;0,"Growing",IF(P195&lt;0,"Degrowing","No Growth"))</f>
        <v>Growing</v>
      </c>
      <c r="R195" s="3">
        <f>IF(COUNTIFS($C$2:C195,C195,$J$2:J195,J195)=1,1,0)</f>
        <v>0</v>
      </c>
    </row>
    <row r="196" spans="1:18">
      <c r="A196" s="1">
        <v>44749</v>
      </c>
      <c r="B196" t="s">
        <v>21</v>
      </c>
      <c r="C196" t="s">
        <v>23</v>
      </c>
      <c r="D196">
        <v>1</v>
      </c>
      <c r="E196">
        <v>19.920000000000002</v>
      </c>
      <c r="F196" t="s">
        <v>14</v>
      </c>
      <c r="G196">
        <f t="shared" si="33"/>
        <v>2022</v>
      </c>
      <c r="H196" s="3" t="str">
        <f t="shared" si="34"/>
        <v>Jul</v>
      </c>
      <c r="I196" s="8">
        <f t="shared" si="35"/>
        <v>7</v>
      </c>
      <c r="J196" s="4">
        <f t="shared" si="36"/>
        <v>44743</v>
      </c>
      <c r="K196" s="3" t="str">
        <f t="shared" si="37"/>
        <v>2022-Jul</v>
      </c>
      <c r="L196" s="8">
        <f t="shared" si="38"/>
        <v>1698.9899999999998</v>
      </c>
      <c r="M196" s="8">
        <f t="shared" si="39"/>
        <v>1202.5669090909096</v>
      </c>
      <c r="N196" s="6">
        <f t="shared" si="40"/>
        <v>1.4128028861898132</v>
      </c>
      <c r="O196" s="8">
        <f t="shared" si="41"/>
        <v>2252.73</v>
      </c>
      <c r="P196" s="6">
        <f t="shared" si="42"/>
        <v>-0.24580841911813675</v>
      </c>
      <c r="Q196" s="3" t="str">
        <f t="shared" si="43"/>
        <v>Degrowing</v>
      </c>
      <c r="R196" s="3">
        <f>IF(COUNTIFS($C$2:C196,C196,$J$2:J196,J196)=1,1,0)</f>
        <v>0</v>
      </c>
    </row>
    <row r="197" spans="1:18">
      <c r="A197" s="1">
        <v>44708</v>
      </c>
      <c r="B197" t="s">
        <v>15</v>
      </c>
      <c r="C197" t="s">
        <v>13</v>
      </c>
      <c r="D197">
        <v>12</v>
      </c>
      <c r="E197">
        <v>151.09</v>
      </c>
      <c r="F197" t="s">
        <v>11</v>
      </c>
      <c r="G197">
        <f t="shared" si="33"/>
        <v>2022</v>
      </c>
      <c r="H197" s="3" t="str">
        <f t="shared" si="34"/>
        <v>May</v>
      </c>
      <c r="I197" s="8">
        <f t="shared" si="35"/>
        <v>5</v>
      </c>
      <c r="J197" s="4">
        <f t="shared" si="36"/>
        <v>44682</v>
      </c>
      <c r="K197" s="3" t="str">
        <f t="shared" si="37"/>
        <v>2022-May</v>
      </c>
      <c r="L197" s="8">
        <f t="shared" si="38"/>
        <v>1938.8200000000002</v>
      </c>
      <c r="M197" s="8">
        <f t="shared" si="39"/>
        <v>758.4789545454546</v>
      </c>
      <c r="N197" s="6">
        <f t="shared" si="40"/>
        <v>2.5561948533719128</v>
      </c>
      <c r="O197" s="8">
        <f t="shared" si="41"/>
        <v>972.89</v>
      </c>
      <c r="P197" s="6">
        <f t="shared" si="42"/>
        <v>0.99284605659427083</v>
      </c>
      <c r="Q197" s="3" t="str">
        <f t="shared" si="43"/>
        <v>Growing</v>
      </c>
      <c r="R197" s="3">
        <f>IF(COUNTIFS($C$2:C197,C197,$J$2:J197,J197)=1,1,0)</f>
        <v>0</v>
      </c>
    </row>
    <row r="198" spans="1:18">
      <c r="A198" s="1">
        <v>44769</v>
      </c>
      <c r="B198" t="s">
        <v>12</v>
      </c>
      <c r="C198" t="s">
        <v>19</v>
      </c>
      <c r="D198">
        <v>3</v>
      </c>
      <c r="E198">
        <v>59.89</v>
      </c>
      <c r="F198" t="s">
        <v>22</v>
      </c>
      <c r="G198">
        <f t="shared" si="33"/>
        <v>2022</v>
      </c>
      <c r="H198" s="3" t="str">
        <f t="shared" si="34"/>
        <v>Jul</v>
      </c>
      <c r="I198" s="8">
        <f t="shared" si="35"/>
        <v>7</v>
      </c>
      <c r="J198" s="4">
        <f t="shared" si="36"/>
        <v>44743</v>
      </c>
      <c r="K198" s="3" t="str">
        <f t="shared" si="37"/>
        <v>2022-Jul</v>
      </c>
      <c r="L198" s="8">
        <f t="shared" si="38"/>
        <v>1767.0500000000002</v>
      </c>
      <c r="M198" s="8">
        <f t="shared" si="39"/>
        <v>709.47177777777802</v>
      </c>
      <c r="N198" s="6">
        <f t="shared" si="40"/>
        <v>2.4906558024545955</v>
      </c>
      <c r="O198" s="8">
        <f t="shared" si="41"/>
        <v>1655.98</v>
      </c>
      <c r="P198" s="6">
        <f t="shared" si="42"/>
        <v>6.7072066087754775E-2</v>
      </c>
      <c r="Q198" s="3" t="str">
        <f t="shared" si="43"/>
        <v>Growing</v>
      </c>
      <c r="R198" s="3">
        <f>IF(COUNTIFS($C$2:C198,C198,$J$2:J198,J198)=1,1,0)</f>
        <v>0</v>
      </c>
    </row>
    <row r="199" spans="1:18">
      <c r="A199" s="1">
        <v>44712</v>
      </c>
      <c r="B199" t="s">
        <v>17</v>
      </c>
      <c r="C199" t="s">
        <v>13</v>
      </c>
      <c r="D199">
        <v>15</v>
      </c>
      <c r="E199">
        <v>363.94</v>
      </c>
      <c r="F199" t="s">
        <v>11</v>
      </c>
      <c r="G199">
        <f t="shared" si="33"/>
        <v>2022</v>
      </c>
      <c r="H199" s="3" t="str">
        <f t="shared" si="34"/>
        <v>May</v>
      </c>
      <c r="I199" s="8">
        <f t="shared" si="35"/>
        <v>5</v>
      </c>
      <c r="J199" s="4">
        <f t="shared" si="36"/>
        <v>44682</v>
      </c>
      <c r="K199" s="3" t="str">
        <f t="shared" si="37"/>
        <v>2022-May</v>
      </c>
      <c r="L199" s="8">
        <f t="shared" si="38"/>
        <v>1938.8200000000002</v>
      </c>
      <c r="M199" s="8">
        <f t="shared" si="39"/>
        <v>758.4789545454546</v>
      </c>
      <c r="N199" s="6">
        <f t="shared" si="40"/>
        <v>2.5561948533719128</v>
      </c>
      <c r="O199" s="8">
        <f t="shared" si="41"/>
        <v>972.89</v>
      </c>
      <c r="P199" s="6">
        <f t="shared" si="42"/>
        <v>0.99284605659427083</v>
      </c>
      <c r="Q199" s="3" t="str">
        <f t="shared" si="43"/>
        <v>Growing</v>
      </c>
      <c r="R199" s="3">
        <f>IF(COUNTIFS($C$2:C199,C199,$J$2:J199,J199)=1,1,0)</f>
        <v>0</v>
      </c>
    </row>
    <row r="200" spans="1:18">
      <c r="A200" s="1">
        <v>44699</v>
      </c>
      <c r="B200" t="s">
        <v>15</v>
      </c>
      <c r="C200" t="s">
        <v>20</v>
      </c>
      <c r="D200">
        <v>7</v>
      </c>
      <c r="E200">
        <v>91.95</v>
      </c>
      <c r="F200" t="s">
        <v>14</v>
      </c>
      <c r="G200">
        <f t="shared" si="33"/>
        <v>2022</v>
      </c>
      <c r="H200" s="3" t="str">
        <f t="shared" si="34"/>
        <v>May</v>
      </c>
      <c r="I200" s="8">
        <f t="shared" si="35"/>
        <v>5</v>
      </c>
      <c r="J200" s="4">
        <f t="shared" si="36"/>
        <v>44682</v>
      </c>
      <c r="K200" s="3" t="str">
        <f t="shared" si="37"/>
        <v>2022-May</v>
      </c>
      <c r="L200" s="8">
        <f t="shared" si="38"/>
        <v>1280.45</v>
      </c>
      <c r="M200" s="8">
        <f t="shared" si="39"/>
        <v>1556.7479999999998</v>
      </c>
      <c r="N200" s="6">
        <f t="shared" si="40"/>
        <v>0.82251591137422386</v>
      </c>
      <c r="O200" s="8">
        <f t="shared" si="41"/>
        <v>740.37</v>
      </c>
      <c r="P200" s="6">
        <f t="shared" si="42"/>
        <v>0.72947310128719434</v>
      </c>
      <c r="Q200" s="3" t="str">
        <f t="shared" si="43"/>
        <v>Growing</v>
      </c>
      <c r="R200" s="3">
        <f>IF(COUNTIFS($C$2:C200,C200,$J$2:J200,J200)=1,1,0)</f>
        <v>0</v>
      </c>
    </row>
    <row r="201" spans="1:18">
      <c r="A201" s="1">
        <v>44728</v>
      </c>
      <c r="B201" t="s">
        <v>21</v>
      </c>
      <c r="C201" t="s">
        <v>19</v>
      </c>
      <c r="D201">
        <v>15</v>
      </c>
      <c r="E201">
        <v>150.34</v>
      </c>
      <c r="F201" t="s">
        <v>14</v>
      </c>
      <c r="G201">
        <f t="shared" si="33"/>
        <v>2022</v>
      </c>
      <c r="H201" s="3" t="str">
        <f t="shared" si="34"/>
        <v>Jun</v>
      </c>
      <c r="I201" s="8">
        <f t="shared" si="35"/>
        <v>6</v>
      </c>
      <c r="J201" s="4">
        <f t="shared" si="36"/>
        <v>44713</v>
      </c>
      <c r="K201" s="3" t="str">
        <f t="shared" si="37"/>
        <v>2022-Jun</v>
      </c>
      <c r="L201" s="8">
        <f t="shared" si="38"/>
        <v>1655.98</v>
      </c>
      <c r="M201" s="8">
        <f t="shared" si="39"/>
        <v>591.22648148148176</v>
      </c>
      <c r="N201" s="6">
        <f t="shared" si="40"/>
        <v>2.8009232533875736</v>
      </c>
      <c r="O201" s="8">
        <f t="shared" si="41"/>
        <v>1584.09</v>
      </c>
      <c r="P201" s="6">
        <f t="shared" si="42"/>
        <v>4.5382522457688708E-2</v>
      </c>
      <c r="Q201" s="3" t="str">
        <f t="shared" si="43"/>
        <v>Growing</v>
      </c>
      <c r="R201" s="3">
        <f>IF(COUNTIFS($C$2:C201,C201,$J$2:J201,J201)=1,1,0)</f>
        <v>0</v>
      </c>
    </row>
    <row r="202" spans="1:18">
      <c r="A202" s="1">
        <v>44698</v>
      </c>
      <c r="B202" t="s">
        <v>21</v>
      </c>
      <c r="C202" t="s">
        <v>13</v>
      </c>
      <c r="D202">
        <v>17</v>
      </c>
      <c r="E202">
        <v>180.65</v>
      </c>
      <c r="F202" t="s">
        <v>8</v>
      </c>
      <c r="G202">
        <f t="shared" si="33"/>
        <v>2022</v>
      </c>
      <c r="H202" s="3" t="str">
        <f t="shared" si="34"/>
        <v>May</v>
      </c>
      <c r="I202" s="8">
        <f t="shared" si="35"/>
        <v>5</v>
      </c>
      <c r="J202" s="4">
        <f t="shared" si="36"/>
        <v>44682</v>
      </c>
      <c r="K202" s="3" t="str">
        <f t="shared" si="37"/>
        <v>2022-May</v>
      </c>
      <c r="L202" s="8">
        <f t="shared" si="38"/>
        <v>1938.8200000000002</v>
      </c>
      <c r="M202" s="8">
        <f t="shared" si="39"/>
        <v>758.4789545454546</v>
      </c>
      <c r="N202" s="6">
        <f t="shared" si="40"/>
        <v>2.5561948533719128</v>
      </c>
      <c r="O202" s="8">
        <f t="shared" si="41"/>
        <v>972.89</v>
      </c>
      <c r="P202" s="6">
        <f t="shared" si="42"/>
        <v>0.99284605659427083</v>
      </c>
      <c r="Q202" s="3" t="str">
        <f t="shared" si="43"/>
        <v>Growing</v>
      </c>
      <c r="R202" s="3">
        <f>IF(COUNTIFS($C$2:C202,C202,$J$2:J202,J202)=1,1,0)</f>
        <v>0</v>
      </c>
    </row>
    <row r="203" spans="1:18">
      <c r="A203" s="1">
        <v>44597</v>
      </c>
      <c r="B203" t="s">
        <v>15</v>
      </c>
      <c r="C203" t="s">
        <v>23</v>
      </c>
      <c r="D203">
        <v>8</v>
      </c>
      <c r="E203">
        <v>110.6</v>
      </c>
      <c r="F203" t="s">
        <v>22</v>
      </c>
      <c r="G203">
        <f t="shared" si="33"/>
        <v>2022</v>
      </c>
      <c r="H203" s="3" t="str">
        <f t="shared" si="34"/>
        <v>Feb</v>
      </c>
      <c r="I203" s="8">
        <f t="shared" si="35"/>
        <v>2</v>
      </c>
      <c r="J203" s="4">
        <f t="shared" si="36"/>
        <v>44593</v>
      </c>
      <c r="K203" s="3" t="str">
        <f t="shared" si="37"/>
        <v>2022-Feb</v>
      </c>
      <c r="L203" s="8">
        <f t="shared" si="38"/>
        <v>1770.3600000000001</v>
      </c>
      <c r="M203" s="8">
        <f t="shared" si="39"/>
        <v>1052.2460454545458</v>
      </c>
      <c r="N203" s="6">
        <f t="shared" si="40"/>
        <v>1.6824582117913742</v>
      </c>
      <c r="O203" s="8">
        <f t="shared" si="41"/>
        <v>241.89999999999998</v>
      </c>
      <c r="P203" s="6">
        <f t="shared" si="42"/>
        <v>6.3185613890037216</v>
      </c>
      <c r="Q203" s="3" t="str">
        <f t="shared" si="43"/>
        <v>Growing</v>
      </c>
      <c r="R203" s="3">
        <f>IF(COUNTIFS($C$2:C203,C203,$J$2:J203,J203)=1,1,0)</f>
        <v>0</v>
      </c>
    </row>
    <row r="204" spans="1:18">
      <c r="A204" s="1">
        <v>44665</v>
      </c>
      <c r="B204" t="s">
        <v>6</v>
      </c>
      <c r="C204" t="s">
        <v>10</v>
      </c>
      <c r="D204">
        <v>20</v>
      </c>
      <c r="E204">
        <v>330.3</v>
      </c>
      <c r="F204" t="s">
        <v>8</v>
      </c>
      <c r="G204">
        <f t="shared" si="33"/>
        <v>2022</v>
      </c>
      <c r="H204" s="3" t="str">
        <f t="shared" si="34"/>
        <v>Apr</v>
      </c>
      <c r="I204" s="8">
        <f t="shared" si="35"/>
        <v>4</v>
      </c>
      <c r="J204" s="4">
        <f t="shared" si="36"/>
        <v>44652</v>
      </c>
      <c r="K204" s="3" t="str">
        <f t="shared" si="37"/>
        <v>2022-Apr</v>
      </c>
      <c r="L204" s="8">
        <f t="shared" si="38"/>
        <v>2185.4700000000003</v>
      </c>
      <c r="M204" s="8">
        <f t="shared" si="39"/>
        <v>841.31976923076911</v>
      </c>
      <c r="N204" s="6">
        <f t="shared" si="40"/>
        <v>2.5976686628892689</v>
      </c>
      <c r="O204" s="8">
        <f t="shared" si="41"/>
        <v>274.01</v>
      </c>
      <c r="P204" s="6">
        <f t="shared" si="42"/>
        <v>6.9758767928177816</v>
      </c>
      <c r="Q204" s="3" t="str">
        <f t="shared" si="43"/>
        <v>Growing</v>
      </c>
      <c r="R204" s="3">
        <f>IF(COUNTIFS($C$2:C204,C204,$J$2:J204,J204)=1,1,0)</f>
        <v>0</v>
      </c>
    </row>
    <row r="205" spans="1:18">
      <c r="A205" s="1">
        <v>44743</v>
      </c>
      <c r="B205" t="s">
        <v>12</v>
      </c>
      <c r="C205" t="s">
        <v>24</v>
      </c>
      <c r="D205">
        <v>8</v>
      </c>
      <c r="E205">
        <v>93.83</v>
      </c>
      <c r="F205" t="s">
        <v>16</v>
      </c>
      <c r="G205">
        <f t="shared" si="33"/>
        <v>2022</v>
      </c>
      <c r="H205" s="3" t="str">
        <f t="shared" si="34"/>
        <v>Jul</v>
      </c>
      <c r="I205" s="8">
        <f t="shared" si="35"/>
        <v>7</v>
      </c>
      <c r="J205" s="4">
        <f t="shared" si="36"/>
        <v>44743</v>
      </c>
      <c r="K205" s="3" t="str">
        <f t="shared" si="37"/>
        <v>2022-Jul</v>
      </c>
      <c r="L205" s="8">
        <f t="shared" si="38"/>
        <v>874.87</v>
      </c>
      <c r="M205" s="8">
        <f t="shared" si="39"/>
        <v>938.54266666666649</v>
      </c>
      <c r="N205" s="6">
        <f t="shared" si="40"/>
        <v>0.9321579413189528</v>
      </c>
      <c r="O205" s="8">
        <f t="shared" si="41"/>
        <v>704.09</v>
      </c>
      <c r="P205" s="6">
        <f t="shared" si="42"/>
        <v>0.24255421892087653</v>
      </c>
      <c r="Q205" s="3" t="str">
        <f t="shared" si="43"/>
        <v>Growing</v>
      </c>
      <c r="R205" s="3">
        <f>IF(COUNTIFS($C$2:C205,C205,$J$2:J205,J205)=1,1,0)</f>
        <v>0</v>
      </c>
    </row>
    <row r="206" spans="1:18">
      <c r="A206" s="1">
        <v>44572</v>
      </c>
      <c r="B206" t="s">
        <v>9</v>
      </c>
      <c r="C206" t="s">
        <v>7</v>
      </c>
      <c r="D206">
        <v>19</v>
      </c>
      <c r="E206">
        <v>210.77</v>
      </c>
      <c r="F206" t="s">
        <v>14</v>
      </c>
      <c r="G206">
        <f t="shared" si="33"/>
        <v>2022</v>
      </c>
      <c r="H206" s="3" t="str">
        <f t="shared" si="34"/>
        <v>Jan</v>
      </c>
      <c r="I206" s="8">
        <f t="shared" si="35"/>
        <v>1</v>
      </c>
      <c r="J206" s="4">
        <f t="shared" si="36"/>
        <v>44562</v>
      </c>
      <c r="K206" s="3" t="str">
        <f t="shared" si="37"/>
        <v>2022-Jan</v>
      </c>
      <c r="L206" s="8">
        <f t="shared" si="38"/>
        <v>656.7700000000001</v>
      </c>
      <c r="M206" s="8">
        <f t="shared" si="39"/>
        <v>1005.6885416666664</v>
      </c>
      <c r="N206" s="6">
        <f t="shared" si="40"/>
        <v>0.65305506902919974</v>
      </c>
      <c r="O206" s="8">
        <f t="shared" si="41"/>
        <v>0</v>
      </c>
      <c r="P206" s="6">
        <f t="shared" si="42"/>
        <v>0</v>
      </c>
      <c r="Q206" s="3" t="str">
        <f t="shared" si="43"/>
        <v>No Growth</v>
      </c>
      <c r="R206" s="3">
        <f>IF(COUNTIFS($C$2:C206,C206,$J$2:J206,J206)=1,1,0)</f>
        <v>0</v>
      </c>
    </row>
    <row r="207" spans="1:18">
      <c r="A207" s="1">
        <v>44721</v>
      </c>
      <c r="B207" t="s">
        <v>6</v>
      </c>
      <c r="C207" t="s">
        <v>13</v>
      </c>
      <c r="D207">
        <v>14</v>
      </c>
      <c r="E207">
        <v>307.75</v>
      </c>
      <c r="F207" t="s">
        <v>16</v>
      </c>
      <c r="G207">
        <f t="shared" si="33"/>
        <v>2022</v>
      </c>
      <c r="H207" s="3" t="str">
        <f t="shared" si="34"/>
        <v>Jun</v>
      </c>
      <c r="I207" s="8">
        <f t="shared" si="35"/>
        <v>6</v>
      </c>
      <c r="J207" s="4">
        <f t="shared" si="36"/>
        <v>44713</v>
      </c>
      <c r="K207" s="3" t="str">
        <f t="shared" si="37"/>
        <v>2022-Jun</v>
      </c>
      <c r="L207" s="8">
        <f t="shared" si="38"/>
        <v>585.20999999999992</v>
      </c>
      <c r="M207" s="8">
        <f t="shared" si="39"/>
        <v>1896.1973863636363</v>
      </c>
      <c r="N207" s="6">
        <f t="shared" si="40"/>
        <v>0.30862293356614373</v>
      </c>
      <c r="O207" s="8">
        <f t="shared" si="41"/>
        <v>1938.8200000000002</v>
      </c>
      <c r="P207" s="6">
        <f t="shared" si="42"/>
        <v>-0.69816176849836498</v>
      </c>
      <c r="Q207" s="3" t="str">
        <f t="shared" si="43"/>
        <v>Degrowing</v>
      </c>
      <c r="R207" s="3">
        <f>IF(COUNTIFS($C$2:C207,C207,$J$2:J207,J207)=1,1,0)</f>
        <v>0</v>
      </c>
    </row>
    <row r="208" spans="1:18">
      <c r="A208" s="1">
        <v>44714</v>
      </c>
      <c r="B208" t="s">
        <v>15</v>
      </c>
      <c r="C208" t="s">
        <v>23</v>
      </c>
      <c r="D208">
        <v>18</v>
      </c>
      <c r="E208">
        <v>149.85</v>
      </c>
      <c r="F208" t="s">
        <v>8</v>
      </c>
      <c r="G208">
        <f t="shared" si="33"/>
        <v>2022</v>
      </c>
      <c r="H208" s="3" t="str">
        <f t="shared" si="34"/>
        <v>Jun</v>
      </c>
      <c r="I208" s="8">
        <f t="shared" si="35"/>
        <v>6</v>
      </c>
      <c r="J208" s="4">
        <f t="shared" si="36"/>
        <v>44713</v>
      </c>
      <c r="K208" s="3" t="str">
        <f t="shared" si="37"/>
        <v>2022-Jun</v>
      </c>
      <c r="L208" s="8">
        <f t="shared" si="38"/>
        <v>2252.73</v>
      </c>
      <c r="M208" s="8">
        <f t="shared" si="39"/>
        <v>765.26985123966961</v>
      </c>
      <c r="N208" s="6">
        <f t="shared" si="40"/>
        <v>2.9437067151551526</v>
      </c>
      <c r="O208" s="8">
        <f t="shared" si="41"/>
        <v>185.17000000000002</v>
      </c>
      <c r="P208" s="6">
        <f t="shared" si="42"/>
        <v>11.165739590646432</v>
      </c>
      <c r="Q208" s="3" t="str">
        <f t="shared" si="43"/>
        <v>Growing</v>
      </c>
      <c r="R208" s="3">
        <f>IF(COUNTIFS($C$2:C208,C208,$J$2:J208,J208)=1,1,0)</f>
        <v>0</v>
      </c>
    </row>
    <row r="209" spans="1:18">
      <c r="A209" s="1">
        <v>44751</v>
      </c>
      <c r="B209" t="s">
        <v>21</v>
      </c>
      <c r="C209" t="s">
        <v>24</v>
      </c>
      <c r="D209">
        <v>20</v>
      </c>
      <c r="E209">
        <v>176.04</v>
      </c>
      <c r="F209" t="s">
        <v>14</v>
      </c>
      <c r="G209">
        <f t="shared" si="33"/>
        <v>2022</v>
      </c>
      <c r="H209" s="3" t="str">
        <f t="shared" si="34"/>
        <v>Jul</v>
      </c>
      <c r="I209" s="8">
        <f t="shared" si="35"/>
        <v>7</v>
      </c>
      <c r="J209" s="4">
        <f t="shared" si="36"/>
        <v>44743</v>
      </c>
      <c r="K209" s="3" t="str">
        <f t="shared" si="37"/>
        <v>2022-Jul</v>
      </c>
      <c r="L209" s="8">
        <f t="shared" si="38"/>
        <v>874.87</v>
      </c>
      <c r="M209" s="8">
        <f t="shared" si="39"/>
        <v>938.54266666666649</v>
      </c>
      <c r="N209" s="6">
        <f t="shared" si="40"/>
        <v>0.9321579413189528</v>
      </c>
      <c r="O209" s="8">
        <f t="shared" si="41"/>
        <v>704.09</v>
      </c>
      <c r="P209" s="6">
        <f t="shared" si="42"/>
        <v>0.24255421892087653</v>
      </c>
      <c r="Q209" s="3" t="str">
        <f t="shared" si="43"/>
        <v>Growing</v>
      </c>
      <c r="R209" s="3">
        <f>IF(COUNTIFS($C$2:C209,C209,$J$2:J209,J209)=1,1,0)</f>
        <v>0</v>
      </c>
    </row>
    <row r="210" spans="1:18">
      <c r="A210" s="1">
        <v>44752</v>
      </c>
      <c r="B210" t="s">
        <v>17</v>
      </c>
      <c r="C210" t="s">
        <v>7</v>
      </c>
      <c r="D210">
        <v>8</v>
      </c>
      <c r="E210">
        <v>102.72</v>
      </c>
      <c r="F210" t="s">
        <v>16</v>
      </c>
      <c r="G210">
        <f t="shared" si="33"/>
        <v>2022</v>
      </c>
      <c r="H210" s="3" t="str">
        <f t="shared" si="34"/>
        <v>Jul</v>
      </c>
      <c r="I210" s="8">
        <f t="shared" si="35"/>
        <v>7</v>
      </c>
      <c r="J210" s="4">
        <f t="shared" si="36"/>
        <v>44743</v>
      </c>
      <c r="K210" s="3" t="str">
        <f t="shared" si="37"/>
        <v>2022-Jul</v>
      </c>
      <c r="L210" s="8">
        <f t="shared" si="38"/>
        <v>537.31000000000006</v>
      </c>
      <c r="M210" s="8">
        <f t="shared" si="39"/>
        <v>862.01874999999984</v>
      </c>
      <c r="N210" s="6">
        <f t="shared" si="40"/>
        <v>0.62331590815165006</v>
      </c>
      <c r="O210" s="8">
        <f t="shared" si="41"/>
        <v>1013.7</v>
      </c>
      <c r="P210" s="6">
        <f t="shared" si="42"/>
        <v>-0.46995166222748347</v>
      </c>
      <c r="Q210" s="3" t="str">
        <f t="shared" si="43"/>
        <v>Degrowing</v>
      </c>
      <c r="R210" s="3">
        <f>IF(COUNTIFS($C$2:C210,C210,$J$2:J210,J210)=1,1,0)</f>
        <v>0</v>
      </c>
    </row>
    <row r="211" spans="1:18">
      <c r="A211" s="1">
        <v>44779</v>
      </c>
      <c r="B211" t="s">
        <v>12</v>
      </c>
      <c r="C211" t="s">
        <v>19</v>
      </c>
      <c r="D211">
        <v>18</v>
      </c>
      <c r="E211">
        <v>224.44</v>
      </c>
      <c r="F211" t="s">
        <v>8</v>
      </c>
      <c r="G211">
        <f t="shared" si="33"/>
        <v>2022</v>
      </c>
      <c r="H211" s="3" t="str">
        <f t="shared" si="34"/>
        <v>Aug</v>
      </c>
      <c r="I211" s="8">
        <f t="shared" si="35"/>
        <v>8</v>
      </c>
      <c r="J211" s="4">
        <f t="shared" si="36"/>
        <v>44774</v>
      </c>
      <c r="K211" s="3" t="str">
        <f t="shared" si="37"/>
        <v>2022-Aug</v>
      </c>
      <c r="L211" s="8">
        <f t="shared" si="38"/>
        <v>753.67000000000007</v>
      </c>
      <c r="M211" s="8">
        <f t="shared" si="39"/>
        <v>1418.943555555556</v>
      </c>
      <c r="N211" s="6">
        <f t="shared" si="40"/>
        <v>0.53114868244700353</v>
      </c>
      <c r="O211" s="8">
        <f t="shared" si="41"/>
        <v>1767.0500000000002</v>
      </c>
      <c r="P211" s="6">
        <f t="shared" si="42"/>
        <v>-0.57348688492119637</v>
      </c>
      <c r="Q211" s="3" t="str">
        <f t="shared" si="43"/>
        <v>Degrowing</v>
      </c>
      <c r="R211" s="3">
        <f>IF(COUNTIFS($C$2:C211,C211,$J$2:J211,J211)=1,1,0)</f>
        <v>0</v>
      </c>
    </row>
    <row r="212" spans="1:18">
      <c r="A212" s="1">
        <v>44606</v>
      </c>
      <c r="B212" t="s">
        <v>18</v>
      </c>
      <c r="C212" t="s">
        <v>20</v>
      </c>
      <c r="D212">
        <v>1</v>
      </c>
      <c r="E212">
        <v>23.68</v>
      </c>
      <c r="F212" t="s">
        <v>8</v>
      </c>
      <c r="G212">
        <f t="shared" si="33"/>
        <v>2022</v>
      </c>
      <c r="H212" s="3" t="str">
        <f t="shared" si="34"/>
        <v>Feb</v>
      </c>
      <c r="I212" s="8">
        <f t="shared" si="35"/>
        <v>2</v>
      </c>
      <c r="J212" s="4">
        <f t="shared" si="36"/>
        <v>44593</v>
      </c>
      <c r="K212" s="3" t="str">
        <f t="shared" si="37"/>
        <v>2022-Feb</v>
      </c>
      <c r="L212" s="8">
        <f t="shared" si="38"/>
        <v>1484.3899999999999</v>
      </c>
      <c r="M212" s="8">
        <f t="shared" si="39"/>
        <v>1111.962857142857</v>
      </c>
      <c r="N212" s="6">
        <f t="shared" si="40"/>
        <v>1.3349276825793257</v>
      </c>
      <c r="O212" s="8">
        <f t="shared" si="41"/>
        <v>680.2299999999999</v>
      </c>
      <c r="P212" s="6">
        <f t="shared" si="42"/>
        <v>1.1821883774605648</v>
      </c>
      <c r="Q212" s="3" t="str">
        <f t="shared" si="43"/>
        <v>Growing</v>
      </c>
      <c r="R212" s="3">
        <f>IF(COUNTIFS($C$2:C212,C212,$J$2:J212,J212)=1,1,0)</f>
        <v>0</v>
      </c>
    </row>
    <row r="213" spans="1:18">
      <c r="A213" s="1">
        <v>44685</v>
      </c>
      <c r="B213" t="s">
        <v>21</v>
      </c>
      <c r="C213" t="s">
        <v>7</v>
      </c>
      <c r="D213">
        <v>2</v>
      </c>
      <c r="E213">
        <v>47.79</v>
      </c>
      <c r="F213" t="s">
        <v>8</v>
      </c>
      <c r="G213">
        <f t="shared" si="33"/>
        <v>2022</v>
      </c>
      <c r="H213" s="3" t="str">
        <f t="shared" si="34"/>
        <v>May</v>
      </c>
      <c r="I213" s="8">
        <f t="shared" si="35"/>
        <v>5</v>
      </c>
      <c r="J213" s="4">
        <f t="shared" si="36"/>
        <v>44682</v>
      </c>
      <c r="K213" s="3" t="str">
        <f t="shared" si="37"/>
        <v>2022-May</v>
      </c>
      <c r="L213" s="8">
        <f t="shared" si="38"/>
        <v>459.62</v>
      </c>
      <c r="M213" s="8">
        <f t="shared" si="39"/>
        <v>1508.5328124999996</v>
      </c>
      <c r="N213" s="6">
        <f t="shared" si="40"/>
        <v>0.30468014761859885</v>
      </c>
      <c r="O213" s="8">
        <f t="shared" si="41"/>
        <v>574.2399999999999</v>
      </c>
      <c r="P213" s="6">
        <f t="shared" si="42"/>
        <v>-0.1996029534689327</v>
      </c>
      <c r="Q213" s="3" t="str">
        <f t="shared" si="43"/>
        <v>Degrowing</v>
      </c>
      <c r="R213" s="3">
        <f>IF(COUNTIFS($C$2:C213,C213,$J$2:J213,J213)=1,1,0)</f>
        <v>0</v>
      </c>
    </row>
    <row r="214" spans="1:18">
      <c r="A214" s="1">
        <v>44790</v>
      </c>
      <c r="B214" t="s">
        <v>9</v>
      </c>
      <c r="C214" t="s">
        <v>19</v>
      </c>
      <c r="D214">
        <v>10</v>
      </c>
      <c r="E214">
        <v>154.6</v>
      </c>
      <c r="F214" t="s">
        <v>22</v>
      </c>
      <c r="G214">
        <f t="shared" si="33"/>
        <v>2022</v>
      </c>
      <c r="H214" s="3" t="str">
        <f t="shared" si="34"/>
        <v>Aug</v>
      </c>
      <c r="I214" s="8">
        <f t="shared" si="35"/>
        <v>8</v>
      </c>
      <c r="J214" s="4">
        <f t="shared" si="36"/>
        <v>44774</v>
      </c>
      <c r="K214" s="3" t="str">
        <f t="shared" si="37"/>
        <v>2022-Aug</v>
      </c>
      <c r="L214" s="8">
        <f t="shared" si="38"/>
        <v>753.67000000000007</v>
      </c>
      <c r="M214" s="8">
        <f t="shared" si="39"/>
        <v>1418.943555555556</v>
      </c>
      <c r="N214" s="6">
        <f t="shared" si="40"/>
        <v>0.53114868244700353</v>
      </c>
      <c r="O214" s="8">
        <f t="shared" si="41"/>
        <v>1767.0500000000002</v>
      </c>
      <c r="P214" s="6">
        <f t="shared" si="42"/>
        <v>-0.57348688492119637</v>
      </c>
      <c r="Q214" s="3" t="str">
        <f t="shared" si="43"/>
        <v>Degrowing</v>
      </c>
      <c r="R214" s="3">
        <f>IF(COUNTIFS($C$2:C214,C214,$J$2:J214,J214)=1,1,0)</f>
        <v>0</v>
      </c>
    </row>
    <row r="215" spans="1:18">
      <c r="A215" s="1">
        <v>44698</v>
      </c>
      <c r="B215" t="s">
        <v>21</v>
      </c>
      <c r="C215" t="s">
        <v>10</v>
      </c>
      <c r="D215">
        <v>8</v>
      </c>
      <c r="E215">
        <v>158.49</v>
      </c>
      <c r="F215" t="s">
        <v>22</v>
      </c>
      <c r="G215">
        <f t="shared" si="33"/>
        <v>2022</v>
      </c>
      <c r="H215" s="3" t="str">
        <f t="shared" si="34"/>
        <v>May</v>
      </c>
      <c r="I215" s="8">
        <f t="shared" si="35"/>
        <v>5</v>
      </c>
      <c r="J215" s="4">
        <f t="shared" si="36"/>
        <v>44682</v>
      </c>
      <c r="K215" s="3" t="str">
        <f t="shared" si="37"/>
        <v>2022-May</v>
      </c>
      <c r="L215" s="8">
        <f t="shared" si="38"/>
        <v>2645.1499999999996</v>
      </c>
      <c r="M215" s="8">
        <f t="shared" si="39"/>
        <v>764.83615384615382</v>
      </c>
      <c r="N215" s="6">
        <f t="shared" si="40"/>
        <v>3.4584531428048435</v>
      </c>
      <c r="O215" s="8">
        <f t="shared" si="41"/>
        <v>2185.4700000000003</v>
      </c>
      <c r="P215" s="6">
        <f t="shared" si="42"/>
        <v>0.21033461909795118</v>
      </c>
      <c r="Q215" s="3" t="str">
        <f t="shared" si="43"/>
        <v>Growing</v>
      </c>
      <c r="R215" s="3">
        <f>IF(COUNTIFS($C$2:C215,C215,$J$2:J215,J215)=1,1,0)</f>
        <v>0</v>
      </c>
    </row>
    <row r="216" spans="1:18">
      <c r="A216" s="1">
        <v>44775</v>
      </c>
      <c r="B216" t="s">
        <v>18</v>
      </c>
      <c r="C216" t="s">
        <v>20</v>
      </c>
      <c r="D216">
        <v>7</v>
      </c>
      <c r="E216">
        <v>68.989999999999995</v>
      </c>
      <c r="F216" t="s">
        <v>22</v>
      </c>
      <c r="G216">
        <f t="shared" si="33"/>
        <v>2022</v>
      </c>
      <c r="H216" s="3" t="str">
        <f t="shared" si="34"/>
        <v>Aug</v>
      </c>
      <c r="I216" s="8">
        <f t="shared" si="35"/>
        <v>8</v>
      </c>
      <c r="J216" s="4">
        <f t="shared" si="36"/>
        <v>44774</v>
      </c>
      <c r="K216" s="3" t="str">
        <f t="shared" si="37"/>
        <v>2022-Aug</v>
      </c>
      <c r="L216" s="8">
        <f t="shared" si="38"/>
        <v>507.65</v>
      </c>
      <c r="M216" s="8">
        <f t="shared" si="39"/>
        <v>1945.9349999999999</v>
      </c>
      <c r="N216" s="6">
        <f t="shared" si="40"/>
        <v>0.26087716187847998</v>
      </c>
      <c r="O216" s="8">
        <f t="shared" si="41"/>
        <v>1056.4100000000001</v>
      </c>
      <c r="P216" s="6">
        <f t="shared" si="42"/>
        <v>-0.51945740763529313</v>
      </c>
      <c r="Q216" s="3" t="str">
        <f t="shared" si="43"/>
        <v>Degrowing</v>
      </c>
      <c r="R216" s="3">
        <f>IF(COUNTIFS($C$2:C216,C216,$J$2:J216,J216)=1,1,0)</f>
        <v>0</v>
      </c>
    </row>
    <row r="217" spans="1:18">
      <c r="A217" s="1">
        <v>44702</v>
      </c>
      <c r="B217" t="s">
        <v>18</v>
      </c>
      <c r="C217" t="s">
        <v>10</v>
      </c>
      <c r="D217">
        <v>9</v>
      </c>
      <c r="E217">
        <v>186.56</v>
      </c>
      <c r="F217" t="s">
        <v>22</v>
      </c>
      <c r="G217">
        <f t="shared" si="33"/>
        <v>2022</v>
      </c>
      <c r="H217" s="3" t="str">
        <f t="shared" si="34"/>
        <v>May</v>
      </c>
      <c r="I217" s="8">
        <f t="shared" si="35"/>
        <v>5</v>
      </c>
      <c r="J217" s="4">
        <f t="shared" si="36"/>
        <v>44682</v>
      </c>
      <c r="K217" s="3" t="str">
        <f t="shared" si="37"/>
        <v>2022-May</v>
      </c>
      <c r="L217" s="8">
        <f t="shared" si="38"/>
        <v>2645.1499999999996</v>
      </c>
      <c r="M217" s="8">
        <f t="shared" si="39"/>
        <v>764.83615384615382</v>
      </c>
      <c r="N217" s="6">
        <f t="shared" si="40"/>
        <v>3.4584531428048435</v>
      </c>
      <c r="O217" s="8">
        <f t="shared" si="41"/>
        <v>2185.4700000000003</v>
      </c>
      <c r="P217" s="6">
        <f t="shared" si="42"/>
        <v>0.21033461909795118</v>
      </c>
      <c r="Q217" s="3" t="str">
        <f t="shared" si="43"/>
        <v>Growing</v>
      </c>
      <c r="R217" s="3">
        <f>IF(COUNTIFS($C$2:C217,C217,$J$2:J217,J217)=1,1,0)</f>
        <v>0</v>
      </c>
    </row>
    <row r="218" spans="1:18">
      <c r="A218" s="1">
        <v>44733</v>
      </c>
      <c r="B218" t="s">
        <v>12</v>
      </c>
      <c r="C218" t="s">
        <v>24</v>
      </c>
      <c r="D218">
        <v>2</v>
      </c>
      <c r="E218">
        <v>36.61</v>
      </c>
      <c r="F218" t="s">
        <v>11</v>
      </c>
      <c r="G218">
        <f t="shared" si="33"/>
        <v>2022</v>
      </c>
      <c r="H218" s="3" t="str">
        <f t="shared" si="34"/>
        <v>Jun</v>
      </c>
      <c r="I218" s="8">
        <f t="shared" si="35"/>
        <v>6</v>
      </c>
      <c r="J218" s="4">
        <f t="shared" si="36"/>
        <v>44713</v>
      </c>
      <c r="K218" s="3" t="str">
        <f t="shared" si="37"/>
        <v>2022-Jun</v>
      </c>
      <c r="L218" s="8">
        <f t="shared" si="38"/>
        <v>704.09</v>
      </c>
      <c r="M218" s="8">
        <f t="shared" si="39"/>
        <v>1642.4496666666664</v>
      </c>
      <c r="N218" s="6">
        <f t="shared" si="40"/>
        <v>0.42868284751090302</v>
      </c>
      <c r="O218" s="8">
        <f t="shared" si="41"/>
        <v>791.69999999999993</v>
      </c>
      <c r="P218" s="6">
        <f t="shared" si="42"/>
        <v>-0.11066060376405193</v>
      </c>
      <c r="Q218" s="3" t="str">
        <f t="shared" si="43"/>
        <v>Degrowing</v>
      </c>
      <c r="R218" s="3">
        <f>IF(COUNTIFS($C$2:C218,C218,$J$2:J218,J218)=1,1,0)</f>
        <v>0</v>
      </c>
    </row>
    <row r="219" spans="1:18">
      <c r="A219" s="1">
        <v>44569</v>
      </c>
      <c r="B219" t="s">
        <v>12</v>
      </c>
      <c r="C219" t="s">
        <v>19</v>
      </c>
      <c r="D219">
        <v>16</v>
      </c>
      <c r="E219">
        <v>392.8</v>
      </c>
      <c r="F219" t="s">
        <v>8</v>
      </c>
      <c r="G219">
        <f t="shared" si="33"/>
        <v>2022</v>
      </c>
      <c r="H219" s="3" t="str">
        <f t="shared" si="34"/>
        <v>Jan</v>
      </c>
      <c r="I219" s="8">
        <f t="shared" si="35"/>
        <v>1</v>
      </c>
      <c r="J219" s="4">
        <f t="shared" si="36"/>
        <v>44562</v>
      </c>
      <c r="K219" s="3" t="str">
        <f t="shared" si="37"/>
        <v>2022-Jan</v>
      </c>
      <c r="L219" s="8">
        <f t="shared" si="38"/>
        <v>1368.74</v>
      </c>
      <c r="M219" s="8">
        <f t="shared" si="39"/>
        <v>1418.943555555556</v>
      </c>
      <c r="N219" s="6">
        <f t="shared" si="40"/>
        <v>0.9646190608787818</v>
      </c>
      <c r="O219" s="8">
        <f t="shared" si="41"/>
        <v>0</v>
      </c>
      <c r="P219" s="6">
        <f t="shared" si="42"/>
        <v>0</v>
      </c>
      <c r="Q219" s="3" t="str">
        <f t="shared" si="43"/>
        <v>No Growth</v>
      </c>
      <c r="R219" s="3">
        <f>IF(COUNTIFS($C$2:C219,C219,$J$2:J219,J219)=1,1,0)</f>
        <v>0</v>
      </c>
    </row>
    <row r="220" spans="1:18">
      <c r="A220" s="1">
        <v>44723</v>
      </c>
      <c r="B220" t="s">
        <v>21</v>
      </c>
      <c r="C220" t="s">
        <v>13</v>
      </c>
      <c r="D220">
        <v>5</v>
      </c>
      <c r="E220">
        <v>82.32</v>
      </c>
      <c r="F220" t="s">
        <v>22</v>
      </c>
      <c r="G220">
        <f t="shared" si="33"/>
        <v>2022</v>
      </c>
      <c r="H220" s="3" t="str">
        <f t="shared" si="34"/>
        <v>Jun</v>
      </c>
      <c r="I220" s="8">
        <f t="shared" si="35"/>
        <v>6</v>
      </c>
      <c r="J220" s="4">
        <f t="shared" si="36"/>
        <v>44713</v>
      </c>
      <c r="K220" s="3" t="str">
        <f t="shared" si="37"/>
        <v>2022-Jun</v>
      </c>
      <c r="L220" s="8">
        <f t="shared" si="38"/>
        <v>585.20999999999992</v>
      </c>
      <c r="M220" s="8">
        <f t="shared" si="39"/>
        <v>1896.1973863636363</v>
      </c>
      <c r="N220" s="6">
        <f t="shared" si="40"/>
        <v>0.30862293356614373</v>
      </c>
      <c r="O220" s="8">
        <f t="shared" si="41"/>
        <v>1938.8200000000002</v>
      </c>
      <c r="P220" s="6">
        <f t="shared" si="42"/>
        <v>-0.69816176849836498</v>
      </c>
      <c r="Q220" s="3" t="str">
        <f t="shared" si="43"/>
        <v>Degrowing</v>
      </c>
      <c r="R220" s="3">
        <f>IF(COUNTIFS($C$2:C220,C220,$J$2:J220,J220)=1,1,0)</f>
        <v>0</v>
      </c>
    </row>
    <row r="221" spans="1:18">
      <c r="A221" s="1">
        <v>44659</v>
      </c>
      <c r="B221" t="s">
        <v>18</v>
      </c>
      <c r="C221" t="s">
        <v>10</v>
      </c>
      <c r="D221">
        <v>6</v>
      </c>
      <c r="E221">
        <v>128.69</v>
      </c>
      <c r="F221" t="s">
        <v>14</v>
      </c>
      <c r="G221">
        <f t="shared" si="33"/>
        <v>2022</v>
      </c>
      <c r="H221" s="3" t="str">
        <f t="shared" si="34"/>
        <v>Apr</v>
      </c>
      <c r="I221" s="8">
        <f t="shared" si="35"/>
        <v>4</v>
      </c>
      <c r="J221" s="4">
        <f t="shared" si="36"/>
        <v>44652</v>
      </c>
      <c r="K221" s="3" t="str">
        <f t="shared" si="37"/>
        <v>2022-Apr</v>
      </c>
      <c r="L221" s="8">
        <f t="shared" si="38"/>
        <v>2185.4700000000003</v>
      </c>
      <c r="M221" s="8">
        <f t="shared" si="39"/>
        <v>841.31976923076911</v>
      </c>
      <c r="N221" s="6">
        <f t="shared" si="40"/>
        <v>2.5976686628892689</v>
      </c>
      <c r="O221" s="8">
        <f t="shared" si="41"/>
        <v>274.01</v>
      </c>
      <c r="P221" s="6">
        <f t="shared" si="42"/>
        <v>6.9758767928177816</v>
      </c>
      <c r="Q221" s="3" t="str">
        <f t="shared" si="43"/>
        <v>Growing</v>
      </c>
      <c r="R221" s="3">
        <f>IF(COUNTIFS($C$2:C221,C221,$J$2:J221,J221)=1,1,0)</f>
        <v>0</v>
      </c>
    </row>
    <row r="222" spans="1:18">
      <c r="A222" s="1">
        <v>44777</v>
      </c>
      <c r="B222" t="s">
        <v>6</v>
      </c>
      <c r="C222" t="s">
        <v>10</v>
      </c>
      <c r="D222">
        <v>13</v>
      </c>
      <c r="E222">
        <v>323.95999999999998</v>
      </c>
      <c r="F222" t="s">
        <v>16</v>
      </c>
      <c r="G222">
        <f t="shared" si="33"/>
        <v>2022</v>
      </c>
      <c r="H222" s="3" t="str">
        <f t="shared" si="34"/>
        <v>Aug</v>
      </c>
      <c r="I222" s="8">
        <f t="shared" si="35"/>
        <v>8</v>
      </c>
      <c r="J222" s="4">
        <f t="shared" si="36"/>
        <v>44774</v>
      </c>
      <c r="K222" s="3" t="str">
        <f t="shared" si="37"/>
        <v>2022-Aug</v>
      </c>
      <c r="L222" s="8">
        <f t="shared" si="38"/>
        <v>1721.52</v>
      </c>
      <c r="M222" s="8">
        <f t="shared" si="39"/>
        <v>841.31976923076911</v>
      </c>
      <c r="N222" s="6">
        <f t="shared" si="40"/>
        <v>2.046213654974506</v>
      </c>
      <c r="O222" s="8">
        <f t="shared" si="41"/>
        <v>1166.76</v>
      </c>
      <c r="P222" s="6">
        <f t="shared" si="42"/>
        <v>0.47547053378586857</v>
      </c>
      <c r="Q222" s="3" t="str">
        <f t="shared" si="43"/>
        <v>Growing</v>
      </c>
      <c r="R222" s="3">
        <f>IF(COUNTIFS($C$2:C222,C222,$J$2:J222,J222)=1,1,0)</f>
        <v>0</v>
      </c>
    </row>
    <row r="223" spans="1:18">
      <c r="A223" s="1">
        <v>44633</v>
      </c>
      <c r="B223" t="s">
        <v>21</v>
      </c>
      <c r="C223" t="s">
        <v>23</v>
      </c>
      <c r="D223">
        <v>9</v>
      </c>
      <c r="E223">
        <v>180.57</v>
      </c>
      <c r="F223" t="s">
        <v>8</v>
      </c>
      <c r="G223">
        <f t="shared" si="33"/>
        <v>2022</v>
      </c>
      <c r="H223" s="3" t="str">
        <f t="shared" si="34"/>
        <v>Mar</v>
      </c>
      <c r="I223" s="8">
        <f t="shared" si="35"/>
        <v>3</v>
      </c>
      <c r="J223" s="4">
        <f t="shared" si="36"/>
        <v>44621</v>
      </c>
      <c r="K223" s="3" t="str">
        <f t="shared" si="37"/>
        <v>2022-Mar</v>
      </c>
      <c r="L223" s="8">
        <f t="shared" si="38"/>
        <v>1922.5800000000002</v>
      </c>
      <c r="M223" s="8">
        <f t="shared" si="39"/>
        <v>841.79683636363654</v>
      </c>
      <c r="N223" s="6">
        <f t="shared" si="40"/>
        <v>2.2839002440364253</v>
      </c>
      <c r="O223" s="8">
        <f t="shared" si="41"/>
        <v>1770.3600000000001</v>
      </c>
      <c r="P223" s="6">
        <f t="shared" si="42"/>
        <v>8.5982512031451241E-2</v>
      </c>
      <c r="Q223" s="3" t="str">
        <f t="shared" si="43"/>
        <v>Growing</v>
      </c>
      <c r="R223" s="3">
        <f>IF(COUNTIFS($C$2:C223,C223,$J$2:J223,J223)=1,1,0)</f>
        <v>0</v>
      </c>
    </row>
    <row r="224" spans="1:18">
      <c r="A224" s="1">
        <v>44798</v>
      </c>
      <c r="B224" t="s">
        <v>9</v>
      </c>
      <c r="C224" t="s">
        <v>23</v>
      </c>
      <c r="D224">
        <v>18</v>
      </c>
      <c r="E224">
        <v>229.15</v>
      </c>
      <c r="F224" t="s">
        <v>14</v>
      </c>
      <c r="G224">
        <f t="shared" si="33"/>
        <v>2022</v>
      </c>
      <c r="H224" s="3" t="str">
        <f t="shared" si="34"/>
        <v>Aug</v>
      </c>
      <c r="I224" s="8">
        <f t="shared" si="35"/>
        <v>8</v>
      </c>
      <c r="J224" s="4">
        <f t="shared" si="36"/>
        <v>44774</v>
      </c>
      <c r="K224" s="3" t="str">
        <f t="shared" si="37"/>
        <v>2022-Aug</v>
      </c>
      <c r="L224" s="8">
        <f t="shared" si="38"/>
        <v>1328.57</v>
      </c>
      <c r="M224" s="8">
        <f t="shared" si="39"/>
        <v>1052.2460454545458</v>
      </c>
      <c r="N224" s="6">
        <f t="shared" si="40"/>
        <v>1.2626039373006992</v>
      </c>
      <c r="O224" s="8">
        <f t="shared" si="41"/>
        <v>1698.9899999999998</v>
      </c>
      <c r="P224" s="6">
        <f t="shared" si="42"/>
        <v>-0.21802364934461055</v>
      </c>
      <c r="Q224" s="3" t="str">
        <f t="shared" si="43"/>
        <v>Degrowing</v>
      </c>
      <c r="R224" s="3">
        <f>IF(COUNTIFS($C$2:C224,C224,$J$2:J224,J224)=1,1,0)</f>
        <v>1</v>
      </c>
    </row>
    <row r="225" spans="1:18">
      <c r="A225" s="1">
        <v>44792</v>
      </c>
      <c r="B225" t="s">
        <v>6</v>
      </c>
      <c r="C225" t="s">
        <v>23</v>
      </c>
      <c r="D225">
        <v>7</v>
      </c>
      <c r="E225">
        <v>163.5</v>
      </c>
      <c r="F225" t="s">
        <v>16</v>
      </c>
      <c r="G225">
        <f t="shared" si="33"/>
        <v>2022</v>
      </c>
      <c r="H225" s="3" t="str">
        <f t="shared" si="34"/>
        <v>Aug</v>
      </c>
      <c r="I225" s="8">
        <f t="shared" si="35"/>
        <v>8</v>
      </c>
      <c r="J225" s="4">
        <f t="shared" si="36"/>
        <v>44774</v>
      </c>
      <c r="K225" s="3" t="str">
        <f t="shared" si="37"/>
        <v>2022-Aug</v>
      </c>
      <c r="L225" s="8">
        <f t="shared" si="38"/>
        <v>1328.57</v>
      </c>
      <c r="M225" s="8">
        <f t="shared" si="39"/>
        <v>1052.2460454545458</v>
      </c>
      <c r="N225" s="6">
        <f t="shared" si="40"/>
        <v>1.2626039373006992</v>
      </c>
      <c r="O225" s="8">
        <f t="shared" si="41"/>
        <v>1698.9899999999998</v>
      </c>
      <c r="P225" s="6">
        <f t="shared" si="42"/>
        <v>-0.21802364934461055</v>
      </c>
      <c r="Q225" s="3" t="str">
        <f t="shared" si="43"/>
        <v>Degrowing</v>
      </c>
      <c r="R225" s="3">
        <f>IF(COUNTIFS($C$2:C225,C225,$J$2:J225,J225)=1,1,0)</f>
        <v>0</v>
      </c>
    </row>
    <row r="226" spans="1:18">
      <c r="A226" s="1">
        <v>44630</v>
      </c>
      <c r="B226" t="s">
        <v>9</v>
      </c>
      <c r="C226" t="s">
        <v>20</v>
      </c>
      <c r="D226">
        <v>6</v>
      </c>
      <c r="E226">
        <v>124.34</v>
      </c>
      <c r="F226" t="s">
        <v>22</v>
      </c>
      <c r="G226">
        <f t="shared" si="33"/>
        <v>2022</v>
      </c>
      <c r="H226" s="3" t="str">
        <f t="shared" si="34"/>
        <v>Mar</v>
      </c>
      <c r="I226" s="8">
        <f t="shared" si="35"/>
        <v>3</v>
      </c>
      <c r="J226" s="4">
        <f t="shared" si="36"/>
        <v>44621</v>
      </c>
      <c r="K226" s="3" t="str">
        <f t="shared" si="37"/>
        <v>2022-Mar</v>
      </c>
      <c r="L226" s="8">
        <f t="shared" si="38"/>
        <v>690.2</v>
      </c>
      <c r="M226" s="8">
        <f t="shared" si="39"/>
        <v>1945.9349999999999</v>
      </c>
      <c r="N226" s="6">
        <f t="shared" si="40"/>
        <v>0.35468810623170871</v>
      </c>
      <c r="O226" s="8">
        <f t="shared" si="41"/>
        <v>1484.3899999999999</v>
      </c>
      <c r="P226" s="6">
        <f t="shared" si="42"/>
        <v>-0.53502785656060736</v>
      </c>
      <c r="Q226" s="3" t="str">
        <f t="shared" si="43"/>
        <v>Degrowing</v>
      </c>
      <c r="R226" s="3">
        <f>IF(COUNTIFS($C$2:C226,C226,$J$2:J226,J226)=1,1,0)</f>
        <v>0</v>
      </c>
    </row>
    <row r="227" spans="1:18">
      <c r="A227" s="1">
        <v>44613</v>
      </c>
      <c r="B227" t="s">
        <v>21</v>
      </c>
      <c r="C227" t="s">
        <v>23</v>
      </c>
      <c r="D227">
        <v>5</v>
      </c>
      <c r="E227">
        <v>64.33</v>
      </c>
      <c r="F227" t="s">
        <v>14</v>
      </c>
      <c r="G227">
        <f t="shared" si="33"/>
        <v>2022</v>
      </c>
      <c r="H227" s="3" t="str">
        <f t="shared" si="34"/>
        <v>Feb</v>
      </c>
      <c r="I227" s="8">
        <f t="shared" si="35"/>
        <v>2</v>
      </c>
      <c r="J227" s="4">
        <f t="shared" si="36"/>
        <v>44593</v>
      </c>
      <c r="K227" s="3" t="str">
        <f t="shared" si="37"/>
        <v>2022-Feb</v>
      </c>
      <c r="L227" s="8">
        <f t="shared" si="38"/>
        <v>1770.3600000000001</v>
      </c>
      <c r="M227" s="8">
        <f t="shared" si="39"/>
        <v>1052.2460454545458</v>
      </c>
      <c r="N227" s="6">
        <f t="shared" si="40"/>
        <v>1.6824582117913742</v>
      </c>
      <c r="O227" s="8">
        <f t="shared" si="41"/>
        <v>241.89999999999998</v>
      </c>
      <c r="P227" s="6">
        <f t="shared" si="42"/>
        <v>6.3185613890037216</v>
      </c>
      <c r="Q227" s="3" t="str">
        <f t="shared" si="43"/>
        <v>Growing</v>
      </c>
      <c r="R227" s="3">
        <f>IF(COUNTIFS($C$2:C227,C227,$J$2:J227,J227)=1,1,0)</f>
        <v>0</v>
      </c>
    </row>
    <row r="228" spans="1:18">
      <c r="A228" s="1">
        <v>44685</v>
      </c>
      <c r="B228" t="s">
        <v>9</v>
      </c>
      <c r="C228" t="s">
        <v>7</v>
      </c>
      <c r="D228">
        <v>8</v>
      </c>
      <c r="E228">
        <v>94.84</v>
      </c>
      <c r="F228" t="s">
        <v>22</v>
      </c>
      <c r="G228">
        <f t="shared" si="33"/>
        <v>2022</v>
      </c>
      <c r="H228" s="3" t="str">
        <f t="shared" si="34"/>
        <v>May</v>
      </c>
      <c r="I228" s="8">
        <f t="shared" si="35"/>
        <v>5</v>
      </c>
      <c r="J228" s="4">
        <f t="shared" si="36"/>
        <v>44682</v>
      </c>
      <c r="K228" s="3" t="str">
        <f t="shared" si="37"/>
        <v>2022-May</v>
      </c>
      <c r="L228" s="8">
        <f t="shared" si="38"/>
        <v>459.62</v>
      </c>
      <c r="M228" s="8">
        <f t="shared" si="39"/>
        <v>1508.5328124999996</v>
      </c>
      <c r="N228" s="6">
        <f t="shared" si="40"/>
        <v>0.30468014761859885</v>
      </c>
      <c r="O228" s="8">
        <f t="shared" si="41"/>
        <v>574.2399999999999</v>
      </c>
      <c r="P228" s="6">
        <f t="shared" si="42"/>
        <v>-0.1996029534689327</v>
      </c>
      <c r="Q228" s="3" t="str">
        <f t="shared" si="43"/>
        <v>Degrowing</v>
      </c>
      <c r="R228" s="3">
        <f>IF(COUNTIFS($C$2:C228,C228,$J$2:J228,J228)=1,1,0)</f>
        <v>0</v>
      </c>
    </row>
    <row r="229" spans="1:18">
      <c r="A229" s="1">
        <v>44580</v>
      </c>
      <c r="B229" t="s">
        <v>15</v>
      </c>
      <c r="C229" t="s">
        <v>19</v>
      </c>
      <c r="D229">
        <v>18</v>
      </c>
      <c r="E229">
        <v>432</v>
      </c>
      <c r="F229" t="s">
        <v>11</v>
      </c>
      <c r="G229">
        <f t="shared" si="33"/>
        <v>2022</v>
      </c>
      <c r="H229" s="3" t="str">
        <f t="shared" si="34"/>
        <v>Jan</v>
      </c>
      <c r="I229" s="8">
        <f t="shared" si="35"/>
        <v>1</v>
      </c>
      <c r="J229" s="4">
        <f t="shared" si="36"/>
        <v>44562</v>
      </c>
      <c r="K229" s="3" t="str">
        <f t="shared" si="37"/>
        <v>2022-Jan</v>
      </c>
      <c r="L229" s="8">
        <f t="shared" si="38"/>
        <v>1368.74</v>
      </c>
      <c r="M229" s="8">
        <f t="shared" si="39"/>
        <v>1418.943555555556</v>
      </c>
      <c r="N229" s="6">
        <f t="shared" si="40"/>
        <v>0.9646190608787818</v>
      </c>
      <c r="O229" s="8">
        <f t="shared" si="41"/>
        <v>0</v>
      </c>
      <c r="P229" s="6">
        <f t="shared" si="42"/>
        <v>0</v>
      </c>
      <c r="Q229" s="3" t="str">
        <f t="shared" si="43"/>
        <v>No Growth</v>
      </c>
      <c r="R229" s="3">
        <f>IF(COUNTIFS($C$2:C229,C229,$J$2:J229,J229)=1,1,0)</f>
        <v>0</v>
      </c>
    </row>
    <row r="230" spans="1:18">
      <c r="A230" s="1">
        <v>44715</v>
      </c>
      <c r="B230" t="s">
        <v>17</v>
      </c>
      <c r="C230" t="s">
        <v>24</v>
      </c>
      <c r="D230">
        <v>19</v>
      </c>
      <c r="E230">
        <v>368.72</v>
      </c>
      <c r="F230" t="s">
        <v>16</v>
      </c>
      <c r="G230">
        <f t="shared" si="33"/>
        <v>2022</v>
      </c>
      <c r="H230" s="3" t="str">
        <f t="shared" si="34"/>
        <v>Jun</v>
      </c>
      <c r="I230" s="8">
        <f t="shared" si="35"/>
        <v>6</v>
      </c>
      <c r="J230" s="4">
        <f t="shared" si="36"/>
        <v>44713</v>
      </c>
      <c r="K230" s="3" t="str">
        <f t="shared" si="37"/>
        <v>2022-Jun</v>
      </c>
      <c r="L230" s="8">
        <f t="shared" si="38"/>
        <v>704.09</v>
      </c>
      <c r="M230" s="8">
        <f t="shared" si="39"/>
        <v>1642.4496666666664</v>
      </c>
      <c r="N230" s="6">
        <f t="shared" si="40"/>
        <v>0.42868284751090302</v>
      </c>
      <c r="O230" s="8">
        <f t="shared" si="41"/>
        <v>791.69999999999993</v>
      </c>
      <c r="P230" s="6">
        <f t="shared" si="42"/>
        <v>-0.11066060376405193</v>
      </c>
      <c r="Q230" s="3" t="str">
        <f t="shared" si="43"/>
        <v>Degrowing</v>
      </c>
      <c r="R230" s="3">
        <f>IF(COUNTIFS($C$2:C230,C230,$J$2:J230,J230)=1,1,0)</f>
        <v>0</v>
      </c>
    </row>
    <row r="231" spans="1:18">
      <c r="A231" s="1">
        <v>44751</v>
      </c>
      <c r="B231" t="s">
        <v>21</v>
      </c>
      <c r="C231" t="s">
        <v>10</v>
      </c>
      <c r="D231">
        <v>20</v>
      </c>
      <c r="E231">
        <v>486.94</v>
      </c>
      <c r="F231" t="s">
        <v>22</v>
      </c>
      <c r="G231">
        <f t="shared" si="33"/>
        <v>2022</v>
      </c>
      <c r="H231" s="3" t="str">
        <f t="shared" si="34"/>
        <v>Jul</v>
      </c>
      <c r="I231" s="8">
        <f t="shared" si="35"/>
        <v>7</v>
      </c>
      <c r="J231" s="4">
        <f t="shared" si="36"/>
        <v>44743</v>
      </c>
      <c r="K231" s="3" t="str">
        <f t="shared" si="37"/>
        <v>2022-Jul</v>
      </c>
      <c r="L231" s="8">
        <f t="shared" si="38"/>
        <v>1166.76</v>
      </c>
      <c r="M231" s="8">
        <f t="shared" si="39"/>
        <v>1682.6395384615382</v>
      </c>
      <c r="N231" s="6">
        <f t="shared" si="40"/>
        <v>0.69341054535470237</v>
      </c>
      <c r="O231" s="8">
        <f t="shared" si="41"/>
        <v>761.09999999999991</v>
      </c>
      <c r="P231" s="6">
        <f t="shared" si="42"/>
        <v>0.53299172250689808</v>
      </c>
      <c r="Q231" s="3" t="str">
        <f t="shared" si="43"/>
        <v>Growing</v>
      </c>
      <c r="R231" s="3">
        <f>IF(COUNTIFS($C$2:C231,C231,$J$2:J231,J231)=1,1,0)</f>
        <v>0</v>
      </c>
    </row>
    <row r="232" spans="1:18">
      <c r="A232" s="1">
        <v>44783</v>
      </c>
      <c r="B232" t="s">
        <v>9</v>
      </c>
      <c r="C232" t="s">
        <v>7</v>
      </c>
      <c r="D232">
        <v>13</v>
      </c>
      <c r="E232">
        <v>320.79000000000002</v>
      </c>
      <c r="F232" t="s">
        <v>22</v>
      </c>
      <c r="G232">
        <f t="shared" si="33"/>
        <v>2022</v>
      </c>
      <c r="H232" s="3" t="str">
        <f t="shared" si="34"/>
        <v>Aug</v>
      </c>
      <c r="I232" s="8">
        <f t="shared" si="35"/>
        <v>8</v>
      </c>
      <c r="J232" s="4">
        <f t="shared" si="36"/>
        <v>44774</v>
      </c>
      <c r="K232" s="3" t="str">
        <f t="shared" si="37"/>
        <v>2022-Aug</v>
      </c>
      <c r="L232" s="8">
        <f t="shared" si="38"/>
        <v>1020.76</v>
      </c>
      <c r="M232" s="8">
        <f t="shared" si="39"/>
        <v>1206.8262499999996</v>
      </c>
      <c r="N232" s="6">
        <f t="shared" si="40"/>
        <v>0.8458218405507838</v>
      </c>
      <c r="O232" s="8">
        <f t="shared" si="41"/>
        <v>537.31000000000006</v>
      </c>
      <c r="P232" s="6">
        <f t="shared" si="42"/>
        <v>0.89975991513279086</v>
      </c>
      <c r="Q232" s="3" t="str">
        <f t="shared" si="43"/>
        <v>Growing</v>
      </c>
      <c r="R232" s="3">
        <f>IF(COUNTIFS($C$2:C232,C232,$J$2:J232,J232)=1,1,0)</f>
        <v>0</v>
      </c>
    </row>
    <row r="233" spans="1:18">
      <c r="A233" s="1">
        <v>44755</v>
      </c>
      <c r="B233" t="s">
        <v>15</v>
      </c>
      <c r="C233" t="s">
        <v>23</v>
      </c>
      <c r="D233">
        <v>18</v>
      </c>
      <c r="E233">
        <v>431.39</v>
      </c>
      <c r="F233" t="s">
        <v>22</v>
      </c>
      <c r="G233">
        <f t="shared" si="33"/>
        <v>2022</v>
      </c>
      <c r="H233" s="3" t="str">
        <f t="shared" si="34"/>
        <v>Jul</v>
      </c>
      <c r="I233" s="8">
        <f t="shared" si="35"/>
        <v>7</v>
      </c>
      <c r="J233" s="4">
        <f t="shared" si="36"/>
        <v>44743</v>
      </c>
      <c r="K233" s="3" t="str">
        <f t="shared" si="37"/>
        <v>2022-Jul</v>
      </c>
      <c r="L233" s="8">
        <f t="shared" si="38"/>
        <v>1698.9899999999998</v>
      </c>
      <c r="M233" s="8">
        <f t="shared" si="39"/>
        <v>1202.5669090909096</v>
      </c>
      <c r="N233" s="6">
        <f t="shared" si="40"/>
        <v>1.4128028861898132</v>
      </c>
      <c r="O233" s="8">
        <f t="shared" si="41"/>
        <v>2252.73</v>
      </c>
      <c r="P233" s="6">
        <f t="shared" si="42"/>
        <v>-0.24580841911813675</v>
      </c>
      <c r="Q233" s="3" t="str">
        <f t="shared" si="43"/>
        <v>Degrowing</v>
      </c>
      <c r="R233" s="3">
        <f>IF(COUNTIFS($C$2:C233,C233,$J$2:J233,J233)=1,1,0)</f>
        <v>0</v>
      </c>
    </row>
    <row r="234" spans="1:18">
      <c r="A234" s="1">
        <v>44617</v>
      </c>
      <c r="B234" t="s">
        <v>18</v>
      </c>
      <c r="C234" t="s">
        <v>20</v>
      </c>
      <c r="D234">
        <v>4</v>
      </c>
      <c r="E234">
        <v>67.5</v>
      </c>
      <c r="F234" t="s">
        <v>14</v>
      </c>
      <c r="G234">
        <f t="shared" si="33"/>
        <v>2022</v>
      </c>
      <c r="H234" s="3" t="str">
        <f t="shared" si="34"/>
        <v>Feb</v>
      </c>
      <c r="I234" s="8">
        <f t="shared" si="35"/>
        <v>2</v>
      </c>
      <c r="J234" s="4">
        <f t="shared" si="36"/>
        <v>44593</v>
      </c>
      <c r="K234" s="3" t="str">
        <f t="shared" si="37"/>
        <v>2022-Feb</v>
      </c>
      <c r="L234" s="8">
        <f t="shared" si="38"/>
        <v>1484.3899999999999</v>
      </c>
      <c r="M234" s="8">
        <f t="shared" si="39"/>
        <v>1111.962857142857</v>
      </c>
      <c r="N234" s="6">
        <f t="shared" si="40"/>
        <v>1.3349276825793257</v>
      </c>
      <c r="O234" s="8">
        <f t="shared" si="41"/>
        <v>680.2299999999999</v>
      </c>
      <c r="P234" s="6">
        <f t="shared" si="42"/>
        <v>1.1821883774605648</v>
      </c>
      <c r="Q234" s="3" t="str">
        <f t="shared" si="43"/>
        <v>Growing</v>
      </c>
      <c r="R234" s="3">
        <f>IF(COUNTIFS($C$2:C234,C234,$J$2:J234,J234)=1,1,0)</f>
        <v>0</v>
      </c>
    </row>
    <row r="235" spans="1:18">
      <c r="A235" s="1">
        <v>44769</v>
      </c>
      <c r="B235" t="s">
        <v>17</v>
      </c>
      <c r="C235" t="s">
        <v>19</v>
      </c>
      <c r="D235">
        <v>15</v>
      </c>
      <c r="E235">
        <v>220.62</v>
      </c>
      <c r="F235" t="s">
        <v>22</v>
      </c>
      <c r="G235">
        <f t="shared" si="33"/>
        <v>2022</v>
      </c>
      <c r="H235" s="3" t="str">
        <f t="shared" si="34"/>
        <v>Jul</v>
      </c>
      <c r="I235" s="8">
        <f t="shared" si="35"/>
        <v>7</v>
      </c>
      <c r="J235" s="4">
        <f t="shared" si="36"/>
        <v>44743</v>
      </c>
      <c r="K235" s="3" t="str">
        <f t="shared" si="37"/>
        <v>2022-Jul</v>
      </c>
      <c r="L235" s="8">
        <f t="shared" si="38"/>
        <v>1767.0500000000002</v>
      </c>
      <c r="M235" s="8">
        <f t="shared" si="39"/>
        <v>709.47177777777802</v>
      </c>
      <c r="N235" s="6">
        <f t="shared" si="40"/>
        <v>2.4906558024545955</v>
      </c>
      <c r="O235" s="8">
        <f t="shared" si="41"/>
        <v>1655.98</v>
      </c>
      <c r="P235" s="6">
        <f t="shared" si="42"/>
        <v>6.7072066087754775E-2</v>
      </c>
      <c r="Q235" s="3" t="str">
        <f t="shared" si="43"/>
        <v>Growing</v>
      </c>
      <c r="R235" s="3">
        <f>IF(COUNTIFS($C$2:C235,C235,$J$2:J235,J235)=1,1,0)</f>
        <v>0</v>
      </c>
    </row>
    <row r="236" spans="1:18">
      <c r="A236" s="1">
        <v>44786</v>
      </c>
      <c r="B236" t="s">
        <v>17</v>
      </c>
      <c r="C236" t="s">
        <v>23</v>
      </c>
      <c r="D236">
        <v>5</v>
      </c>
      <c r="E236">
        <v>97.52</v>
      </c>
      <c r="F236" t="s">
        <v>22</v>
      </c>
      <c r="G236">
        <f t="shared" si="33"/>
        <v>2022</v>
      </c>
      <c r="H236" s="3" t="str">
        <f t="shared" si="34"/>
        <v>Aug</v>
      </c>
      <c r="I236" s="8">
        <f t="shared" si="35"/>
        <v>8</v>
      </c>
      <c r="J236" s="4">
        <f t="shared" si="36"/>
        <v>44774</v>
      </c>
      <c r="K236" s="3" t="str">
        <f t="shared" si="37"/>
        <v>2022-Aug</v>
      </c>
      <c r="L236" s="8">
        <f t="shared" si="38"/>
        <v>1328.57</v>
      </c>
      <c r="M236" s="8">
        <f t="shared" si="39"/>
        <v>1052.2460454545458</v>
      </c>
      <c r="N236" s="6">
        <f t="shared" si="40"/>
        <v>1.2626039373006992</v>
      </c>
      <c r="O236" s="8">
        <f t="shared" si="41"/>
        <v>1698.9899999999998</v>
      </c>
      <c r="P236" s="6">
        <f t="shared" si="42"/>
        <v>-0.21802364934461055</v>
      </c>
      <c r="Q236" s="3" t="str">
        <f t="shared" si="43"/>
        <v>Degrowing</v>
      </c>
      <c r="R236" s="3">
        <f>IF(COUNTIFS($C$2:C236,C236,$J$2:J236,J236)=1,1,0)</f>
        <v>0</v>
      </c>
    </row>
    <row r="237" spans="1:18">
      <c r="A237" s="1">
        <v>44800</v>
      </c>
      <c r="B237" t="s">
        <v>9</v>
      </c>
      <c r="C237" t="s">
        <v>10</v>
      </c>
      <c r="D237">
        <v>6</v>
      </c>
      <c r="E237">
        <v>112.49</v>
      </c>
      <c r="F237" t="s">
        <v>16</v>
      </c>
      <c r="G237">
        <f t="shared" si="33"/>
        <v>2022</v>
      </c>
      <c r="H237" s="3" t="str">
        <f t="shared" si="34"/>
        <v>Aug</v>
      </c>
      <c r="I237" s="8">
        <f t="shared" si="35"/>
        <v>8</v>
      </c>
      <c r="J237" s="4">
        <f t="shared" si="36"/>
        <v>44774</v>
      </c>
      <c r="K237" s="3" t="str">
        <f t="shared" si="37"/>
        <v>2022-Aug</v>
      </c>
      <c r="L237" s="8">
        <f t="shared" si="38"/>
        <v>1721.52</v>
      </c>
      <c r="M237" s="8">
        <f t="shared" si="39"/>
        <v>841.31976923076911</v>
      </c>
      <c r="N237" s="6">
        <f t="shared" si="40"/>
        <v>2.046213654974506</v>
      </c>
      <c r="O237" s="8">
        <f t="shared" si="41"/>
        <v>1166.76</v>
      </c>
      <c r="P237" s="6">
        <f t="shared" si="42"/>
        <v>0.47547053378586857</v>
      </c>
      <c r="Q237" s="3" t="str">
        <f t="shared" si="43"/>
        <v>Growing</v>
      </c>
      <c r="R237" s="3">
        <f>IF(COUNTIFS($C$2:C237,C237,$J$2:J237,J237)=1,1,0)</f>
        <v>0</v>
      </c>
    </row>
    <row r="238" spans="1:18">
      <c r="A238" s="1">
        <v>44638</v>
      </c>
      <c r="B238" t="s">
        <v>9</v>
      </c>
      <c r="C238" t="s">
        <v>24</v>
      </c>
      <c r="D238">
        <v>2</v>
      </c>
      <c r="E238">
        <v>45.57</v>
      </c>
      <c r="F238" t="s">
        <v>11</v>
      </c>
      <c r="G238">
        <f t="shared" si="33"/>
        <v>2022</v>
      </c>
      <c r="H238" s="3" t="str">
        <f t="shared" si="34"/>
        <v>Mar</v>
      </c>
      <c r="I238" s="8">
        <f t="shared" si="35"/>
        <v>3</v>
      </c>
      <c r="J238" s="4">
        <f t="shared" si="36"/>
        <v>44621</v>
      </c>
      <c r="K238" s="3" t="str">
        <f t="shared" si="37"/>
        <v>2022-Mar</v>
      </c>
      <c r="L238" s="8">
        <f t="shared" si="38"/>
        <v>760.68999999999994</v>
      </c>
      <c r="M238" s="8">
        <f t="shared" si="39"/>
        <v>1313.9597333333331</v>
      </c>
      <c r="N238" s="6">
        <f t="shared" si="40"/>
        <v>0.57892946085207286</v>
      </c>
      <c r="O238" s="8">
        <f t="shared" si="41"/>
        <v>930.81000000000006</v>
      </c>
      <c r="P238" s="6">
        <f t="shared" si="42"/>
        <v>-0.18276554828590164</v>
      </c>
      <c r="Q238" s="3" t="str">
        <f t="shared" si="43"/>
        <v>Degrowing</v>
      </c>
      <c r="R238" s="3">
        <f>IF(COUNTIFS($C$2:C238,C238,$J$2:J238,J238)=1,1,0)</f>
        <v>0</v>
      </c>
    </row>
    <row r="239" spans="1:18">
      <c r="A239" s="1">
        <v>44759</v>
      </c>
      <c r="B239" t="s">
        <v>18</v>
      </c>
      <c r="C239" t="s">
        <v>10</v>
      </c>
      <c r="D239">
        <v>9</v>
      </c>
      <c r="E239">
        <v>100.77</v>
      </c>
      <c r="F239" t="s">
        <v>14</v>
      </c>
      <c r="G239">
        <f t="shared" si="33"/>
        <v>2022</v>
      </c>
      <c r="H239" s="3" t="str">
        <f t="shared" si="34"/>
        <v>Jul</v>
      </c>
      <c r="I239" s="8">
        <f t="shared" si="35"/>
        <v>7</v>
      </c>
      <c r="J239" s="4">
        <f t="shared" si="36"/>
        <v>44743</v>
      </c>
      <c r="K239" s="3" t="str">
        <f t="shared" si="37"/>
        <v>2022-Jul</v>
      </c>
      <c r="L239" s="8">
        <f t="shared" si="38"/>
        <v>1166.76</v>
      </c>
      <c r="M239" s="8">
        <f t="shared" si="39"/>
        <v>1682.6395384615382</v>
      </c>
      <c r="N239" s="6">
        <f t="shared" si="40"/>
        <v>0.69341054535470237</v>
      </c>
      <c r="O239" s="8">
        <f t="shared" si="41"/>
        <v>761.09999999999991</v>
      </c>
      <c r="P239" s="6">
        <f t="shared" si="42"/>
        <v>0.53299172250689808</v>
      </c>
      <c r="Q239" s="3" t="str">
        <f t="shared" si="43"/>
        <v>Growing</v>
      </c>
      <c r="R239" s="3">
        <f>IF(COUNTIFS($C$2:C239,C239,$J$2:J239,J239)=1,1,0)</f>
        <v>0</v>
      </c>
    </row>
    <row r="240" spans="1:18">
      <c r="A240" s="1">
        <v>44680</v>
      </c>
      <c r="B240" t="s">
        <v>15</v>
      </c>
      <c r="C240" t="s">
        <v>10</v>
      </c>
      <c r="D240">
        <v>12</v>
      </c>
      <c r="E240">
        <v>295.77999999999997</v>
      </c>
      <c r="F240" t="s">
        <v>8</v>
      </c>
      <c r="G240">
        <f t="shared" si="33"/>
        <v>2022</v>
      </c>
      <c r="H240" s="3" t="str">
        <f t="shared" si="34"/>
        <v>Apr</v>
      </c>
      <c r="I240" s="8">
        <f t="shared" si="35"/>
        <v>4</v>
      </c>
      <c r="J240" s="4">
        <f t="shared" si="36"/>
        <v>44652</v>
      </c>
      <c r="K240" s="3" t="str">
        <f t="shared" si="37"/>
        <v>2022-Apr</v>
      </c>
      <c r="L240" s="8">
        <f t="shared" si="38"/>
        <v>2185.4700000000003</v>
      </c>
      <c r="M240" s="8">
        <f t="shared" si="39"/>
        <v>841.31976923076911</v>
      </c>
      <c r="N240" s="6">
        <f t="shared" si="40"/>
        <v>2.5976686628892689</v>
      </c>
      <c r="O240" s="8">
        <f t="shared" si="41"/>
        <v>274.01</v>
      </c>
      <c r="P240" s="6">
        <f t="shared" si="42"/>
        <v>6.9758767928177816</v>
      </c>
      <c r="Q240" s="3" t="str">
        <f t="shared" si="43"/>
        <v>Growing</v>
      </c>
      <c r="R240" s="3">
        <f>IF(COUNTIFS($C$2:C240,C240,$J$2:J240,J240)=1,1,0)</f>
        <v>0</v>
      </c>
    </row>
    <row r="241" spans="1:18">
      <c r="A241" s="1">
        <v>44719</v>
      </c>
      <c r="B241" t="s">
        <v>15</v>
      </c>
      <c r="C241" t="s">
        <v>23</v>
      </c>
      <c r="D241">
        <v>17</v>
      </c>
      <c r="E241">
        <v>381.45</v>
      </c>
      <c r="F241" t="s">
        <v>14</v>
      </c>
      <c r="G241">
        <f t="shared" si="33"/>
        <v>2022</v>
      </c>
      <c r="H241" s="3" t="str">
        <f t="shared" si="34"/>
        <v>Jun</v>
      </c>
      <c r="I241" s="8">
        <f t="shared" si="35"/>
        <v>6</v>
      </c>
      <c r="J241" s="4">
        <f t="shared" si="36"/>
        <v>44713</v>
      </c>
      <c r="K241" s="3" t="str">
        <f t="shared" si="37"/>
        <v>2022-Jun</v>
      </c>
      <c r="L241" s="8">
        <f t="shared" si="38"/>
        <v>2252.73</v>
      </c>
      <c r="M241" s="8">
        <f t="shared" si="39"/>
        <v>765.26985123966961</v>
      </c>
      <c r="N241" s="6">
        <f t="shared" si="40"/>
        <v>2.9437067151551526</v>
      </c>
      <c r="O241" s="8">
        <f t="shared" si="41"/>
        <v>185.17000000000002</v>
      </c>
      <c r="P241" s="6">
        <f t="shared" si="42"/>
        <v>11.165739590646432</v>
      </c>
      <c r="Q241" s="3" t="str">
        <f t="shared" si="43"/>
        <v>Growing</v>
      </c>
      <c r="R241" s="3">
        <f>IF(COUNTIFS($C$2:C241,C241,$J$2:J241,J241)=1,1,0)</f>
        <v>0</v>
      </c>
    </row>
    <row r="242" spans="1:18">
      <c r="A242" s="1">
        <v>44592</v>
      </c>
      <c r="B242" t="s">
        <v>21</v>
      </c>
      <c r="C242" t="s">
        <v>7</v>
      </c>
      <c r="D242">
        <v>11</v>
      </c>
      <c r="E242">
        <v>155.16</v>
      </c>
      <c r="F242" t="s">
        <v>11</v>
      </c>
      <c r="G242">
        <f t="shared" si="33"/>
        <v>2022</v>
      </c>
      <c r="H242" s="3" t="str">
        <f t="shared" si="34"/>
        <v>Jan</v>
      </c>
      <c r="I242" s="8">
        <f t="shared" si="35"/>
        <v>1</v>
      </c>
      <c r="J242" s="4">
        <f t="shared" si="36"/>
        <v>44562</v>
      </c>
      <c r="K242" s="3" t="str">
        <f t="shared" si="37"/>
        <v>2022-Jan</v>
      </c>
      <c r="L242" s="8">
        <f t="shared" si="38"/>
        <v>656.7700000000001</v>
      </c>
      <c r="M242" s="8">
        <f t="shared" si="39"/>
        <v>1005.6885416666664</v>
      </c>
      <c r="N242" s="6">
        <f t="shared" si="40"/>
        <v>0.65305506902919974</v>
      </c>
      <c r="O242" s="8">
        <f t="shared" si="41"/>
        <v>0</v>
      </c>
      <c r="P242" s="6">
        <f t="shared" si="42"/>
        <v>0</v>
      </c>
      <c r="Q242" s="3" t="str">
        <f t="shared" si="43"/>
        <v>No Growth</v>
      </c>
      <c r="R242" s="3">
        <f>IF(COUNTIFS($C$2:C242,C242,$J$2:J242,J242)=1,1,0)</f>
        <v>0</v>
      </c>
    </row>
    <row r="243" spans="1:18">
      <c r="A243" s="1">
        <v>44712</v>
      </c>
      <c r="B243" t="s">
        <v>15</v>
      </c>
      <c r="C243" t="s">
        <v>13</v>
      </c>
      <c r="D243">
        <v>18</v>
      </c>
      <c r="E243">
        <v>309.25</v>
      </c>
      <c r="F243" t="s">
        <v>8</v>
      </c>
      <c r="G243">
        <f t="shared" si="33"/>
        <v>2022</v>
      </c>
      <c r="H243" s="3" t="str">
        <f t="shared" si="34"/>
        <v>May</v>
      </c>
      <c r="I243" s="8">
        <f t="shared" si="35"/>
        <v>5</v>
      </c>
      <c r="J243" s="4">
        <f t="shared" si="36"/>
        <v>44682</v>
      </c>
      <c r="K243" s="3" t="str">
        <f t="shared" si="37"/>
        <v>2022-May</v>
      </c>
      <c r="L243" s="8">
        <f t="shared" si="38"/>
        <v>1938.8200000000002</v>
      </c>
      <c r="M243" s="8">
        <f t="shared" si="39"/>
        <v>758.4789545454546</v>
      </c>
      <c r="N243" s="6">
        <f t="shared" si="40"/>
        <v>2.5561948533719128</v>
      </c>
      <c r="O243" s="8">
        <f t="shared" si="41"/>
        <v>972.89</v>
      </c>
      <c r="P243" s="6">
        <f t="shared" si="42"/>
        <v>0.99284605659427083</v>
      </c>
      <c r="Q243" s="3" t="str">
        <f t="shared" si="43"/>
        <v>Growing</v>
      </c>
      <c r="R243" s="3">
        <f>IF(COUNTIFS($C$2:C243,C243,$J$2:J243,J243)=1,1,0)</f>
        <v>0</v>
      </c>
    </row>
    <row r="244" spans="1:18">
      <c r="A244" s="1">
        <v>44717</v>
      </c>
      <c r="B244" t="s">
        <v>6</v>
      </c>
      <c r="C244" t="s">
        <v>23</v>
      </c>
      <c r="D244">
        <v>3</v>
      </c>
      <c r="E244">
        <v>48.59</v>
      </c>
      <c r="F244" t="s">
        <v>14</v>
      </c>
      <c r="G244">
        <f t="shared" si="33"/>
        <v>2022</v>
      </c>
      <c r="H244" s="3" t="str">
        <f t="shared" si="34"/>
        <v>Jun</v>
      </c>
      <c r="I244" s="8">
        <f t="shared" si="35"/>
        <v>6</v>
      </c>
      <c r="J244" s="4">
        <f t="shared" si="36"/>
        <v>44713</v>
      </c>
      <c r="K244" s="3" t="str">
        <f t="shared" si="37"/>
        <v>2022-Jun</v>
      </c>
      <c r="L244" s="8">
        <f t="shared" si="38"/>
        <v>2252.73</v>
      </c>
      <c r="M244" s="8">
        <f t="shared" si="39"/>
        <v>765.26985123966961</v>
      </c>
      <c r="N244" s="6">
        <f t="shared" si="40"/>
        <v>2.9437067151551526</v>
      </c>
      <c r="O244" s="8">
        <f t="shared" si="41"/>
        <v>185.17000000000002</v>
      </c>
      <c r="P244" s="6">
        <f t="shared" si="42"/>
        <v>11.165739590646432</v>
      </c>
      <c r="Q244" s="3" t="str">
        <f t="shared" si="43"/>
        <v>Growing</v>
      </c>
      <c r="R244" s="3">
        <f>IF(COUNTIFS($C$2:C244,C244,$J$2:J244,J244)=1,1,0)</f>
        <v>0</v>
      </c>
    </row>
    <row r="245" spans="1:18">
      <c r="A245" s="1">
        <v>44587</v>
      </c>
      <c r="B245" t="s">
        <v>18</v>
      </c>
      <c r="C245" t="s">
        <v>19</v>
      </c>
      <c r="D245">
        <v>14</v>
      </c>
      <c r="E245">
        <v>141.91999999999999</v>
      </c>
      <c r="F245" t="s">
        <v>11</v>
      </c>
      <c r="G245">
        <f t="shared" si="33"/>
        <v>2022</v>
      </c>
      <c r="H245" s="3" t="str">
        <f t="shared" si="34"/>
        <v>Jan</v>
      </c>
      <c r="I245" s="8">
        <f t="shared" si="35"/>
        <v>1</v>
      </c>
      <c r="J245" s="4">
        <f t="shared" si="36"/>
        <v>44562</v>
      </c>
      <c r="K245" s="3" t="str">
        <f t="shared" si="37"/>
        <v>2022-Jan</v>
      </c>
      <c r="L245" s="8">
        <f t="shared" si="38"/>
        <v>1368.74</v>
      </c>
      <c r="M245" s="8">
        <f t="shared" si="39"/>
        <v>1418.943555555556</v>
      </c>
      <c r="N245" s="6">
        <f t="shared" si="40"/>
        <v>0.9646190608787818</v>
      </c>
      <c r="O245" s="8">
        <f t="shared" si="41"/>
        <v>0</v>
      </c>
      <c r="P245" s="6">
        <f t="shared" si="42"/>
        <v>0</v>
      </c>
      <c r="Q245" s="3" t="str">
        <f t="shared" si="43"/>
        <v>No Growth</v>
      </c>
      <c r="R245" s="3">
        <f>IF(COUNTIFS($C$2:C245,C245,$J$2:J245,J245)=1,1,0)</f>
        <v>0</v>
      </c>
    </row>
    <row r="246" spans="1:18">
      <c r="A246" s="1">
        <v>44798</v>
      </c>
      <c r="B246" t="s">
        <v>12</v>
      </c>
      <c r="C246" t="s">
        <v>24</v>
      </c>
      <c r="D246">
        <v>4</v>
      </c>
      <c r="E246">
        <v>67.94</v>
      </c>
      <c r="F246" t="s">
        <v>16</v>
      </c>
      <c r="G246">
        <f t="shared" si="33"/>
        <v>2022</v>
      </c>
      <c r="H246" s="3" t="str">
        <f t="shared" si="34"/>
        <v>Aug</v>
      </c>
      <c r="I246" s="8">
        <f t="shared" si="35"/>
        <v>8</v>
      </c>
      <c r="J246" s="4">
        <f t="shared" si="36"/>
        <v>44774</v>
      </c>
      <c r="K246" s="3" t="str">
        <f t="shared" si="37"/>
        <v>2022-Aug</v>
      </c>
      <c r="L246" s="8">
        <f t="shared" si="38"/>
        <v>896.81</v>
      </c>
      <c r="M246" s="8">
        <f t="shared" si="39"/>
        <v>1094.9664444444443</v>
      </c>
      <c r="N246" s="6">
        <f t="shared" si="40"/>
        <v>0.81902966483600015</v>
      </c>
      <c r="O246" s="8">
        <f t="shared" si="41"/>
        <v>874.87</v>
      </c>
      <c r="P246" s="6">
        <f t="shared" si="42"/>
        <v>2.5078011590293346E-2</v>
      </c>
      <c r="Q246" s="3" t="str">
        <f t="shared" si="43"/>
        <v>Growing</v>
      </c>
      <c r="R246" s="3">
        <f>IF(COUNTIFS($C$2:C246,C246,$J$2:J246,J246)=1,1,0)</f>
        <v>0</v>
      </c>
    </row>
    <row r="247" spans="1:18">
      <c r="A247" s="1">
        <v>44575</v>
      </c>
      <c r="B247" t="s">
        <v>18</v>
      </c>
      <c r="C247" t="s">
        <v>10</v>
      </c>
      <c r="D247">
        <v>13</v>
      </c>
      <c r="E247">
        <v>289.57</v>
      </c>
      <c r="F247" t="s">
        <v>16</v>
      </c>
      <c r="G247">
        <f t="shared" si="33"/>
        <v>2022</v>
      </c>
      <c r="H247" s="3" t="str">
        <f t="shared" si="34"/>
        <v>Jan</v>
      </c>
      <c r="I247" s="8">
        <f t="shared" si="35"/>
        <v>1</v>
      </c>
      <c r="J247" s="4">
        <f t="shared" si="36"/>
        <v>44562</v>
      </c>
      <c r="K247" s="3" t="str">
        <f t="shared" si="37"/>
        <v>2022-Jan</v>
      </c>
      <c r="L247" s="8">
        <f t="shared" si="38"/>
        <v>491.53</v>
      </c>
      <c r="M247" s="8">
        <f t="shared" si="39"/>
        <v>4206.5988461538454</v>
      </c>
      <c r="N247" s="6">
        <f t="shared" si="40"/>
        <v>0.11684736719057796</v>
      </c>
      <c r="O247" s="8">
        <f t="shared" si="41"/>
        <v>0</v>
      </c>
      <c r="P247" s="6">
        <f t="shared" si="42"/>
        <v>0</v>
      </c>
      <c r="Q247" s="3" t="str">
        <f t="shared" si="43"/>
        <v>No Growth</v>
      </c>
      <c r="R247" s="3">
        <f>IF(COUNTIFS($C$2:C247,C247,$J$2:J247,J247)=1,1,0)</f>
        <v>0</v>
      </c>
    </row>
    <row r="248" spans="1:18">
      <c r="A248" s="1">
        <v>44643</v>
      </c>
      <c r="B248" t="s">
        <v>21</v>
      </c>
      <c r="C248" t="s">
        <v>20</v>
      </c>
      <c r="D248">
        <v>19</v>
      </c>
      <c r="E248">
        <v>335.15</v>
      </c>
      <c r="F248" t="s">
        <v>8</v>
      </c>
      <c r="G248">
        <f t="shared" si="33"/>
        <v>2022</v>
      </c>
      <c r="H248" s="3" t="str">
        <f t="shared" si="34"/>
        <v>Mar</v>
      </c>
      <c r="I248" s="8">
        <f t="shared" si="35"/>
        <v>3</v>
      </c>
      <c r="J248" s="4">
        <f t="shared" si="36"/>
        <v>44621</v>
      </c>
      <c r="K248" s="3" t="str">
        <f t="shared" si="37"/>
        <v>2022-Mar</v>
      </c>
      <c r="L248" s="8">
        <f t="shared" si="38"/>
        <v>690.2</v>
      </c>
      <c r="M248" s="8">
        <f t="shared" si="39"/>
        <v>1945.9349999999999</v>
      </c>
      <c r="N248" s="6">
        <f t="shared" si="40"/>
        <v>0.35468810623170871</v>
      </c>
      <c r="O248" s="8">
        <f t="shared" si="41"/>
        <v>1484.3899999999999</v>
      </c>
      <c r="P248" s="6">
        <f t="shared" si="42"/>
        <v>-0.53502785656060736</v>
      </c>
      <c r="Q248" s="3" t="str">
        <f t="shared" si="43"/>
        <v>Degrowing</v>
      </c>
      <c r="R248" s="3">
        <f>IF(COUNTIFS($C$2:C248,C248,$J$2:J248,J248)=1,1,0)</f>
        <v>0</v>
      </c>
    </row>
    <row r="249" spans="1:18">
      <c r="A249" s="1">
        <v>44776</v>
      </c>
      <c r="B249" t="s">
        <v>17</v>
      </c>
      <c r="C249" t="s">
        <v>24</v>
      </c>
      <c r="D249">
        <v>6</v>
      </c>
      <c r="E249">
        <v>88.2</v>
      </c>
      <c r="F249" t="s">
        <v>22</v>
      </c>
      <c r="G249">
        <f t="shared" si="33"/>
        <v>2022</v>
      </c>
      <c r="H249" s="3" t="str">
        <f t="shared" si="34"/>
        <v>Aug</v>
      </c>
      <c r="I249" s="8">
        <f t="shared" si="35"/>
        <v>8</v>
      </c>
      <c r="J249" s="4">
        <f t="shared" si="36"/>
        <v>44774</v>
      </c>
      <c r="K249" s="3" t="str">
        <f t="shared" si="37"/>
        <v>2022-Aug</v>
      </c>
      <c r="L249" s="8">
        <f t="shared" si="38"/>
        <v>896.81</v>
      </c>
      <c r="M249" s="8">
        <f t="shared" si="39"/>
        <v>1094.9664444444443</v>
      </c>
      <c r="N249" s="6">
        <f t="shared" si="40"/>
        <v>0.81902966483600015</v>
      </c>
      <c r="O249" s="8">
        <f t="shared" si="41"/>
        <v>874.87</v>
      </c>
      <c r="P249" s="6">
        <f t="shared" si="42"/>
        <v>2.5078011590293346E-2</v>
      </c>
      <c r="Q249" s="3" t="str">
        <f t="shared" si="43"/>
        <v>Growing</v>
      </c>
      <c r="R249" s="3">
        <f>IF(COUNTIFS($C$2:C249,C249,$J$2:J249,J249)=1,1,0)</f>
        <v>0</v>
      </c>
    </row>
    <row r="250" spans="1:18">
      <c r="A250" s="1">
        <v>44656</v>
      </c>
      <c r="B250" t="s">
        <v>21</v>
      </c>
      <c r="C250" t="s">
        <v>13</v>
      </c>
      <c r="D250">
        <v>2</v>
      </c>
      <c r="E250">
        <v>47.92</v>
      </c>
      <c r="F250" t="s">
        <v>11</v>
      </c>
      <c r="G250">
        <f t="shared" si="33"/>
        <v>2022</v>
      </c>
      <c r="H250" s="3" t="str">
        <f t="shared" si="34"/>
        <v>Apr</v>
      </c>
      <c r="I250" s="8">
        <f t="shared" si="35"/>
        <v>4</v>
      </c>
      <c r="J250" s="4">
        <f t="shared" si="36"/>
        <v>44652</v>
      </c>
      <c r="K250" s="3" t="str">
        <f t="shared" si="37"/>
        <v>2022-Apr</v>
      </c>
      <c r="L250" s="8">
        <f t="shared" si="38"/>
        <v>972.89</v>
      </c>
      <c r="M250" s="8">
        <f t="shared" si="39"/>
        <v>1516.9579090909092</v>
      </c>
      <c r="N250" s="6">
        <f t="shared" si="40"/>
        <v>0.64134277831283981</v>
      </c>
      <c r="O250" s="8">
        <f t="shared" si="41"/>
        <v>522.87</v>
      </c>
      <c r="P250" s="6">
        <f t="shared" si="42"/>
        <v>0.86067282498517794</v>
      </c>
      <c r="Q250" s="3" t="str">
        <f t="shared" si="43"/>
        <v>Growing</v>
      </c>
      <c r="R250" s="3">
        <f>IF(COUNTIFS($C$2:C250,C250,$J$2:J250,J250)=1,1,0)</f>
        <v>0</v>
      </c>
    </row>
    <row r="251" spans="1:18">
      <c r="A251" s="1">
        <v>44589</v>
      </c>
      <c r="B251" t="s">
        <v>9</v>
      </c>
      <c r="C251" t="s">
        <v>23</v>
      </c>
      <c r="D251">
        <v>7</v>
      </c>
      <c r="E251">
        <v>65.17</v>
      </c>
      <c r="F251" t="s">
        <v>8</v>
      </c>
      <c r="G251">
        <f t="shared" si="33"/>
        <v>2022</v>
      </c>
      <c r="H251" s="3" t="str">
        <f t="shared" si="34"/>
        <v>Jan</v>
      </c>
      <c r="I251" s="8">
        <f t="shared" si="35"/>
        <v>1</v>
      </c>
      <c r="J251" s="4">
        <f t="shared" si="36"/>
        <v>44562</v>
      </c>
      <c r="K251" s="3" t="str">
        <f t="shared" si="37"/>
        <v>2022-Jan</v>
      </c>
      <c r="L251" s="8">
        <f t="shared" si="38"/>
        <v>241.89999999999998</v>
      </c>
      <c r="M251" s="8">
        <f t="shared" si="39"/>
        <v>4208.9841818181831</v>
      </c>
      <c r="N251" s="6">
        <f t="shared" si="40"/>
        <v>5.7472299621592976E-2</v>
      </c>
      <c r="O251" s="8">
        <f t="shared" si="41"/>
        <v>0</v>
      </c>
      <c r="P251" s="6">
        <f t="shared" si="42"/>
        <v>0</v>
      </c>
      <c r="Q251" s="3" t="str">
        <f t="shared" si="43"/>
        <v>No Growth</v>
      </c>
      <c r="R251" s="3">
        <f>IF(COUNTIFS($C$2:C251,C251,$J$2:J251,J251)=1,1,0)</f>
        <v>0</v>
      </c>
    </row>
    <row r="252" spans="1:18">
      <c r="A252" s="1">
        <v>44577</v>
      </c>
      <c r="B252" t="s">
        <v>17</v>
      </c>
      <c r="C252" t="s">
        <v>7</v>
      </c>
      <c r="D252">
        <v>3</v>
      </c>
      <c r="E252">
        <v>27.98</v>
      </c>
      <c r="F252" t="s">
        <v>16</v>
      </c>
      <c r="G252">
        <f t="shared" si="33"/>
        <v>2022</v>
      </c>
      <c r="H252" s="3" t="str">
        <f t="shared" si="34"/>
        <v>Jan</v>
      </c>
      <c r="I252" s="8">
        <f t="shared" si="35"/>
        <v>1</v>
      </c>
      <c r="J252" s="4">
        <f t="shared" si="36"/>
        <v>44562</v>
      </c>
      <c r="K252" s="3" t="str">
        <f t="shared" si="37"/>
        <v>2022-Jan</v>
      </c>
      <c r="L252" s="8">
        <f t="shared" si="38"/>
        <v>656.7700000000001</v>
      </c>
      <c r="M252" s="8">
        <f t="shared" si="39"/>
        <v>1005.6885416666664</v>
      </c>
      <c r="N252" s="6">
        <f t="shared" si="40"/>
        <v>0.65305506902919974</v>
      </c>
      <c r="O252" s="8">
        <f t="shared" si="41"/>
        <v>0</v>
      </c>
      <c r="P252" s="6">
        <f t="shared" si="42"/>
        <v>0</v>
      </c>
      <c r="Q252" s="3" t="str">
        <f t="shared" si="43"/>
        <v>No Growth</v>
      </c>
      <c r="R252" s="3">
        <f>IF(COUNTIFS($C$2:C252,C252,$J$2:J252,J252)=1,1,0)</f>
        <v>0</v>
      </c>
    </row>
    <row r="253" spans="1:18">
      <c r="A253" s="1">
        <v>44613</v>
      </c>
      <c r="B253" t="s">
        <v>21</v>
      </c>
      <c r="C253" t="s">
        <v>24</v>
      </c>
      <c r="D253">
        <v>8</v>
      </c>
      <c r="E253">
        <v>197.83</v>
      </c>
      <c r="F253" t="s">
        <v>16</v>
      </c>
      <c r="G253">
        <f t="shared" si="33"/>
        <v>2022</v>
      </c>
      <c r="H253" s="3" t="str">
        <f t="shared" si="34"/>
        <v>Feb</v>
      </c>
      <c r="I253" s="8">
        <f t="shared" si="35"/>
        <v>2</v>
      </c>
      <c r="J253" s="4">
        <f t="shared" si="36"/>
        <v>44593</v>
      </c>
      <c r="K253" s="3" t="str">
        <f t="shared" si="37"/>
        <v>2022-Feb</v>
      </c>
      <c r="L253" s="8">
        <f t="shared" si="38"/>
        <v>930.81000000000006</v>
      </c>
      <c r="M253" s="8">
        <f t="shared" si="39"/>
        <v>1094.9664444444443</v>
      </c>
      <c r="N253" s="6">
        <f t="shared" si="40"/>
        <v>0.85008084468950762</v>
      </c>
      <c r="O253" s="8">
        <f t="shared" si="41"/>
        <v>1214.3899999999999</v>
      </c>
      <c r="P253" s="6">
        <f t="shared" si="42"/>
        <v>-0.23351641564900885</v>
      </c>
      <c r="Q253" s="3" t="str">
        <f t="shared" si="43"/>
        <v>Degrowing</v>
      </c>
      <c r="R253" s="3">
        <f>IF(COUNTIFS($C$2:C253,C253,$J$2:J253,J253)=1,1,0)</f>
        <v>0</v>
      </c>
    </row>
    <row r="254" spans="1:18">
      <c r="A254" s="1">
        <v>44622</v>
      </c>
      <c r="B254" t="s">
        <v>18</v>
      </c>
      <c r="C254" t="s">
        <v>10</v>
      </c>
      <c r="D254">
        <v>11</v>
      </c>
      <c r="E254">
        <v>204.72</v>
      </c>
      <c r="F254" t="s">
        <v>11</v>
      </c>
      <c r="G254">
        <f t="shared" si="33"/>
        <v>2022</v>
      </c>
      <c r="H254" s="3" t="str">
        <f t="shared" si="34"/>
        <v>Mar</v>
      </c>
      <c r="I254" s="8">
        <f t="shared" si="35"/>
        <v>3</v>
      </c>
      <c r="J254" s="4">
        <f t="shared" si="36"/>
        <v>44621</v>
      </c>
      <c r="K254" s="3" t="str">
        <f t="shared" si="37"/>
        <v>2022-Mar</v>
      </c>
      <c r="L254" s="8">
        <f t="shared" si="38"/>
        <v>274.01</v>
      </c>
      <c r="M254" s="8">
        <f t="shared" si="39"/>
        <v>2804.3992307692306</v>
      </c>
      <c r="N254" s="6">
        <f t="shared" si="40"/>
        <v>9.770720124068806E-2</v>
      </c>
      <c r="O254" s="8">
        <f t="shared" si="41"/>
        <v>1170.8000000000002</v>
      </c>
      <c r="P254" s="6">
        <f t="shared" si="42"/>
        <v>-0.76596344379911174</v>
      </c>
      <c r="Q254" s="3" t="str">
        <f t="shared" si="43"/>
        <v>Degrowing</v>
      </c>
      <c r="R254" s="3">
        <f>IF(COUNTIFS($C$2:C254,C254,$J$2:J254,J254)=1,1,0)</f>
        <v>0</v>
      </c>
    </row>
    <row r="255" spans="1:18">
      <c r="A255" s="1">
        <v>44622</v>
      </c>
      <c r="B255" t="s">
        <v>6</v>
      </c>
      <c r="C255" t="s">
        <v>7</v>
      </c>
      <c r="D255">
        <v>17</v>
      </c>
      <c r="E255">
        <v>316.18</v>
      </c>
      <c r="F255" t="s">
        <v>14</v>
      </c>
      <c r="G255">
        <f t="shared" si="33"/>
        <v>2022</v>
      </c>
      <c r="H255" s="3" t="str">
        <f t="shared" si="34"/>
        <v>Mar</v>
      </c>
      <c r="I255" s="8">
        <f t="shared" si="35"/>
        <v>3</v>
      </c>
      <c r="J255" s="4">
        <f t="shared" si="36"/>
        <v>44621</v>
      </c>
      <c r="K255" s="3" t="str">
        <f t="shared" si="37"/>
        <v>2022-Mar</v>
      </c>
      <c r="L255" s="8">
        <f t="shared" si="38"/>
        <v>1795.9</v>
      </c>
      <c r="M255" s="8">
        <f t="shared" si="39"/>
        <v>862.01874999999984</v>
      </c>
      <c r="N255" s="6">
        <f t="shared" si="40"/>
        <v>2.0833653560319894</v>
      </c>
      <c r="O255" s="8">
        <f t="shared" si="41"/>
        <v>837.85</v>
      </c>
      <c r="P255" s="6">
        <f t="shared" si="42"/>
        <v>1.1434624336098347</v>
      </c>
      <c r="Q255" s="3" t="str">
        <f t="shared" si="43"/>
        <v>Growing</v>
      </c>
      <c r="R255" s="3">
        <f>IF(COUNTIFS($C$2:C255,C255,$J$2:J255,J255)=1,1,0)</f>
        <v>0</v>
      </c>
    </row>
    <row r="256" spans="1:18">
      <c r="A256" s="1">
        <v>44612</v>
      </c>
      <c r="B256" t="s">
        <v>9</v>
      </c>
      <c r="C256" t="s">
        <v>24</v>
      </c>
      <c r="D256">
        <v>8</v>
      </c>
      <c r="E256">
        <v>81.36</v>
      </c>
      <c r="F256" t="s">
        <v>8</v>
      </c>
      <c r="G256">
        <f t="shared" si="33"/>
        <v>2022</v>
      </c>
      <c r="H256" s="3" t="str">
        <f t="shared" si="34"/>
        <v>Feb</v>
      </c>
      <c r="I256" s="8">
        <f t="shared" si="35"/>
        <v>2</v>
      </c>
      <c r="J256" s="4">
        <f t="shared" si="36"/>
        <v>44593</v>
      </c>
      <c r="K256" s="3" t="str">
        <f t="shared" si="37"/>
        <v>2022-Feb</v>
      </c>
      <c r="L256" s="8">
        <f t="shared" si="38"/>
        <v>930.81000000000006</v>
      </c>
      <c r="M256" s="8">
        <f t="shared" si="39"/>
        <v>1094.9664444444443</v>
      </c>
      <c r="N256" s="6">
        <f t="shared" si="40"/>
        <v>0.85008084468950762</v>
      </c>
      <c r="O256" s="8">
        <f t="shared" si="41"/>
        <v>1214.3899999999999</v>
      </c>
      <c r="P256" s="6">
        <f t="shared" si="42"/>
        <v>-0.23351641564900885</v>
      </c>
      <c r="Q256" s="3" t="str">
        <f t="shared" si="43"/>
        <v>Degrowing</v>
      </c>
      <c r="R256" s="3">
        <f>IF(COUNTIFS($C$2:C256,C256,$J$2:J256,J256)=1,1,0)</f>
        <v>0</v>
      </c>
    </row>
    <row r="257" spans="1:18">
      <c r="A257" s="1">
        <v>44633</v>
      </c>
      <c r="B257" t="s">
        <v>6</v>
      </c>
      <c r="C257" t="s">
        <v>7</v>
      </c>
      <c r="D257">
        <v>18</v>
      </c>
      <c r="E257">
        <v>315.74</v>
      </c>
      <c r="F257" t="s">
        <v>22</v>
      </c>
      <c r="G257">
        <f t="shared" si="33"/>
        <v>2022</v>
      </c>
      <c r="H257" s="3" t="str">
        <f t="shared" si="34"/>
        <v>Mar</v>
      </c>
      <c r="I257" s="8">
        <f t="shared" si="35"/>
        <v>3</v>
      </c>
      <c r="J257" s="4">
        <f t="shared" si="36"/>
        <v>44621</v>
      </c>
      <c r="K257" s="3" t="str">
        <f t="shared" si="37"/>
        <v>2022-Mar</v>
      </c>
      <c r="L257" s="8">
        <f t="shared" si="38"/>
        <v>1795.9</v>
      </c>
      <c r="M257" s="8">
        <f t="shared" si="39"/>
        <v>862.01874999999984</v>
      </c>
      <c r="N257" s="6">
        <f t="shared" si="40"/>
        <v>2.0833653560319894</v>
      </c>
      <c r="O257" s="8">
        <f t="shared" si="41"/>
        <v>837.85</v>
      </c>
      <c r="P257" s="6">
        <f t="shared" si="42"/>
        <v>1.1434624336098347</v>
      </c>
      <c r="Q257" s="3" t="str">
        <f t="shared" si="43"/>
        <v>Growing</v>
      </c>
      <c r="R257" s="3">
        <f>IF(COUNTIFS($C$2:C257,C257,$J$2:J257,J257)=1,1,0)</f>
        <v>0</v>
      </c>
    </row>
    <row r="258" spans="1:18">
      <c r="A258" s="1">
        <v>44594</v>
      </c>
      <c r="B258" t="s">
        <v>15</v>
      </c>
      <c r="C258" t="s">
        <v>24</v>
      </c>
      <c r="D258">
        <v>4</v>
      </c>
      <c r="E258">
        <v>88.26</v>
      </c>
      <c r="F258" t="s">
        <v>22</v>
      </c>
      <c r="G258">
        <f t="shared" si="33"/>
        <v>2022</v>
      </c>
      <c r="H258" s="3" t="str">
        <f t="shared" si="34"/>
        <v>Feb</v>
      </c>
      <c r="I258" s="8">
        <f t="shared" si="35"/>
        <v>2</v>
      </c>
      <c r="J258" s="4">
        <f t="shared" si="36"/>
        <v>44593</v>
      </c>
      <c r="K258" s="3" t="str">
        <f t="shared" si="37"/>
        <v>2022-Feb</v>
      </c>
      <c r="L258" s="8">
        <f t="shared" si="38"/>
        <v>930.81000000000006</v>
      </c>
      <c r="M258" s="8">
        <f t="shared" si="39"/>
        <v>1094.9664444444443</v>
      </c>
      <c r="N258" s="6">
        <f t="shared" si="40"/>
        <v>0.85008084468950762</v>
      </c>
      <c r="O258" s="8">
        <f t="shared" si="41"/>
        <v>1214.3899999999999</v>
      </c>
      <c r="P258" s="6">
        <f t="shared" si="42"/>
        <v>-0.23351641564900885</v>
      </c>
      <c r="Q258" s="3" t="str">
        <f t="shared" si="43"/>
        <v>Degrowing</v>
      </c>
      <c r="R258" s="3">
        <f>IF(COUNTIFS($C$2:C258,C258,$J$2:J258,J258)=1,1,0)</f>
        <v>0</v>
      </c>
    </row>
    <row r="259" spans="1:18">
      <c r="A259" s="1">
        <v>44762</v>
      </c>
      <c r="B259" t="s">
        <v>6</v>
      </c>
      <c r="C259" t="s">
        <v>19</v>
      </c>
      <c r="D259">
        <v>2</v>
      </c>
      <c r="E259">
        <v>28.36</v>
      </c>
      <c r="F259" t="s">
        <v>11</v>
      </c>
      <c r="G259">
        <f t="shared" ref="G259:G322" si="44">YEAR(A259)</f>
        <v>2022</v>
      </c>
      <c r="H259" s="3" t="str">
        <f t="shared" ref="H259:H322" si="45">TEXT(A259,"mmm")</f>
        <v>Jul</v>
      </c>
      <c r="I259" s="8">
        <f t="shared" ref="I259:I322" si="46">MONTH(A259)</f>
        <v>7</v>
      </c>
      <c r="J259" s="4">
        <f t="shared" ref="J259:J322" si="47">DATE(YEAR(A259),MONTH(A259),1)</f>
        <v>44743</v>
      </c>
      <c r="K259" s="3" t="str">
        <f t="shared" ref="K259:K322" si="48">TEXT(J259,"yyyy-mmm")</f>
        <v>2022-Jul</v>
      </c>
      <c r="L259" s="8">
        <f t="shared" ref="L259:L322" si="49">SUMIFS($E:$E,$C:$C,$C259,$J:$J,$J259)</f>
        <v>1767.0500000000002</v>
      </c>
      <c r="M259" s="8">
        <f t="shared" ref="M259:M322" si="50">AVERAGEIFS($E:$E,$C:$C,$C259)*7/COUNTIFS($C:$C,$C259,$I:$I,$I259)*6</f>
        <v>709.47177777777802</v>
      </c>
      <c r="N259" s="6">
        <f t="shared" ref="N259:N322" si="51">IFERROR(L259/M259,0)</f>
        <v>2.4906558024545955</v>
      </c>
      <c r="O259" s="8">
        <f t="shared" ref="O259:O322" si="52">SUMIFS($E:$E,$C:$C,$C259,$J:$J,EDATE(J259,-1))</f>
        <v>1655.98</v>
      </c>
      <c r="P259" s="6">
        <f t="shared" ref="P259:P322" si="53">IFERROR((L259-O259)/O259,0)</f>
        <v>6.7072066087754775E-2</v>
      </c>
      <c r="Q259" s="3" t="str">
        <f t="shared" ref="Q259:Q322" si="54">IF(P259&gt;0,"Growing",IF(P259&lt;0,"Degrowing","No Growth"))</f>
        <v>Growing</v>
      </c>
      <c r="R259" s="3">
        <f>IF(COUNTIFS($C$2:C259,C259,$J$2:J259,J259)=1,1,0)</f>
        <v>0</v>
      </c>
    </row>
    <row r="260" spans="1:18">
      <c r="A260" s="1">
        <v>44684</v>
      </c>
      <c r="B260" t="s">
        <v>12</v>
      </c>
      <c r="C260" t="s">
        <v>10</v>
      </c>
      <c r="D260">
        <v>9</v>
      </c>
      <c r="E260">
        <v>138.31</v>
      </c>
      <c r="F260" t="s">
        <v>11</v>
      </c>
      <c r="G260">
        <f t="shared" si="44"/>
        <v>2022</v>
      </c>
      <c r="H260" s="3" t="str">
        <f t="shared" si="45"/>
        <v>May</v>
      </c>
      <c r="I260" s="8">
        <f t="shared" si="46"/>
        <v>5</v>
      </c>
      <c r="J260" s="4">
        <f t="shared" si="47"/>
        <v>44682</v>
      </c>
      <c r="K260" s="3" t="str">
        <f t="shared" si="48"/>
        <v>2022-May</v>
      </c>
      <c r="L260" s="8">
        <f t="shared" si="49"/>
        <v>2645.1499999999996</v>
      </c>
      <c r="M260" s="8">
        <f t="shared" si="50"/>
        <v>764.83615384615382</v>
      </c>
      <c r="N260" s="6">
        <f t="shared" si="51"/>
        <v>3.4584531428048435</v>
      </c>
      <c r="O260" s="8">
        <f t="shared" si="52"/>
        <v>2185.4700000000003</v>
      </c>
      <c r="P260" s="6">
        <f t="shared" si="53"/>
        <v>0.21033461909795118</v>
      </c>
      <c r="Q260" s="3" t="str">
        <f t="shared" si="54"/>
        <v>Growing</v>
      </c>
      <c r="R260" s="3">
        <f>IF(COUNTIFS($C$2:C260,C260,$J$2:J260,J260)=1,1,0)</f>
        <v>0</v>
      </c>
    </row>
    <row r="261" spans="1:18">
      <c r="A261" s="1">
        <v>44683</v>
      </c>
      <c r="B261" t="s">
        <v>6</v>
      </c>
      <c r="C261" t="s">
        <v>24</v>
      </c>
      <c r="D261">
        <v>18</v>
      </c>
      <c r="E261">
        <v>260.35000000000002</v>
      </c>
      <c r="F261" t="s">
        <v>16</v>
      </c>
      <c r="G261">
        <f t="shared" si="44"/>
        <v>2022</v>
      </c>
      <c r="H261" s="3" t="str">
        <f t="shared" si="45"/>
        <v>May</v>
      </c>
      <c r="I261" s="8">
        <f t="shared" si="46"/>
        <v>5</v>
      </c>
      <c r="J261" s="4">
        <f t="shared" si="47"/>
        <v>44682</v>
      </c>
      <c r="K261" s="3" t="str">
        <f t="shared" si="48"/>
        <v>2022-May</v>
      </c>
      <c r="L261" s="8">
        <f t="shared" si="49"/>
        <v>791.69999999999993</v>
      </c>
      <c r="M261" s="8">
        <f t="shared" si="50"/>
        <v>1094.9664444444443</v>
      </c>
      <c r="N261" s="6">
        <f t="shared" si="51"/>
        <v>0.72303585558887751</v>
      </c>
      <c r="O261" s="8">
        <f t="shared" si="52"/>
        <v>865.70999999999992</v>
      </c>
      <c r="P261" s="6">
        <f t="shared" si="53"/>
        <v>-8.5490522230308064E-2</v>
      </c>
      <c r="Q261" s="3" t="str">
        <f t="shared" si="54"/>
        <v>Degrowing</v>
      </c>
      <c r="R261" s="3">
        <f>IF(COUNTIFS($C$2:C261,C261,$J$2:J261,J261)=1,1,0)</f>
        <v>0</v>
      </c>
    </row>
    <row r="262" spans="1:18">
      <c r="A262" s="1">
        <v>44737</v>
      </c>
      <c r="B262" t="s">
        <v>12</v>
      </c>
      <c r="C262" t="s">
        <v>19</v>
      </c>
      <c r="D262">
        <v>13</v>
      </c>
      <c r="E262">
        <v>227.31</v>
      </c>
      <c r="F262" t="s">
        <v>14</v>
      </c>
      <c r="G262">
        <f t="shared" si="44"/>
        <v>2022</v>
      </c>
      <c r="H262" s="3" t="str">
        <f t="shared" si="45"/>
        <v>Jun</v>
      </c>
      <c r="I262" s="8">
        <f t="shared" si="46"/>
        <v>6</v>
      </c>
      <c r="J262" s="4">
        <f t="shared" si="47"/>
        <v>44713</v>
      </c>
      <c r="K262" s="3" t="str">
        <f t="shared" si="48"/>
        <v>2022-Jun</v>
      </c>
      <c r="L262" s="8">
        <f t="shared" si="49"/>
        <v>1655.98</v>
      </c>
      <c r="M262" s="8">
        <f t="shared" si="50"/>
        <v>591.22648148148176</v>
      </c>
      <c r="N262" s="6">
        <f t="shared" si="51"/>
        <v>2.8009232533875736</v>
      </c>
      <c r="O262" s="8">
        <f t="shared" si="52"/>
        <v>1584.09</v>
      </c>
      <c r="P262" s="6">
        <f t="shared" si="53"/>
        <v>4.5382522457688708E-2</v>
      </c>
      <c r="Q262" s="3" t="str">
        <f t="shared" si="54"/>
        <v>Growing</v>
      </c>
      <c r="R262" s="3">
        <f>IF(COUNTIFS($C$2:C262,C262,$J$2:J262,J262)=1,1,0)</f>
        <v>0</v>
      </c>
    </row>
    <row r="263" spans="1:18">
      <c r="A263" s="1">
        <v>44798</v>
      </c>
      <c r="B263" t="s">
        <v>21</v>
      </c>
      <c r="C263" t="s">
        <v>23</v>
      </c>
      <c r="D263">
        <v>16</v>
      </c>
      <c r="E263">
        <v>130.5</v>
      </c>
      <c r="F263" t="s">
        <v>8</v>
      </c>
      <c r="G263">
        <f t="shared" si="44"/>
        <v>2022</v>
      </c>
      <c r="H263" s="3" t="str">
        <f t="shared" si="45"/>
        <v>Aug</v>
      </c>
      <c r="I263" s="8">
        <f t="shared" si="46"/>
        <v>8</v>
      </c>
      <c r="J263" s="4">
        <f t="shared" si="47"/>
        <v>44774</v>
      </c>
      <c r="K263" s="3" t="str">
        <f t="shared" si="48"/>
        <v>2022-Aug</v>
      </c>
      <c r="L263" s="8">
        <f t="shared" si="49"/>
        <v>1328.57</v>
      </c>
      <c r="M263" s="8">
        <f t="shared" si="50"/>
        <v>1052.2460454545458</v>
      </c>
      <c r="N263" s="6">
        <f t="shared" si="51"/>
        <v>1.2626039373006992</v>
      </c>
      <c r="O263" s="8">
        <f t="shared" si="52"/>
        <v>1698.9899999999998</v>
      </c>
      <c r="P263" s="6">
        <f t="shared" si="53"/>
        <v>-0.21802364934461055</v>
      </c>
      <c r="Q263" s="3" t="str">
        <f t="shared" si="54"/>
        <v>Degrowing</v>
      </c>
      <c r="R263" s="3">
        <f>IF(COUNTIFS($C$2:C263,C263,$J$2:J263,J263)=1,1,0)</f>
        <v>0</v>
      </c>
    </row>
    <row r="264" spans="1:18">
      <c r="A264" s="1">
        <v>44769</v>
      </c>
      <c r="B264" t="s">
        <v>18</v>
      </c>
      <c r="C264" t="s">
        <v>7</v>
      </c>
      <c r="D264">
        <v>4</v>
      </c>
      <c r="E264">
        <v>86.5</v>
      </c>
      <c r="F264" t="s">
        <v>16</v>
      </c>
      <c r="G264">
        <f t="shared" si="44"/>
        <v>2022</v>
      </c>
      <c r="H264" s="3" t="str">
        <f t="shared" si="45"/>
        <v>Jul</v>
      </c>
      <c r="I264" s="8">
        <f t="shared" si="46"/>
        <v>7</v>
      </c>
      <c r="J264" s="4">
        <f t="shared" si="47"/>
        <v>44743</v>
      </c>
      <c r="K264" s="3" t="str">
        <f t="shared" si="48"/>
        <v>2022-Jul</v>
      </c>
      <c r="L264" s="8">
        <f t="shared" si="49"/>
        <v>537.31000000000006</v>
      </c>
      <c r="M264" s="8">
        <f t="shared" si="50"/>
        <v>862.01874999999984</v>
      </c>
      <c r="N264" s="6">
        <f t="shared" si="51"/>
        <v>0.62331590815165006</v>
      </c>
      <c r="O264" s="8">
        <f t="shared" si="52"/>
        <v>1013.7</v>
      </c>
      <c r="P264" s="6">
        <f t="shared" si="53"/>
        <v>-0.46995166222748347</v>
      </c>
      <c r="Q264" s="3" t="str">
        <f t="shared" si="54"/>
        <v>Degrowing</v>
      </c>
      <c r="R264" s="3">
        <f>IF(COUNTIFS($C$2:C264,C264,$J$2:J264,J264)=1,1,0)</f>
        <v>0</v>
      </c>
    </row>
    <row r="265" spans="1:18">
      <c r="A265" s="1">
        <v>44799</v>
      </c>
      <c r="B265" t="s">
        <v>17</v>
      </c>
      <c r="C265" t="s">
        <v>10</v>
      </c>
      <c r="D265">
        <v>19</v>
      </c>
      <c r="E265">
        <v>364.12</v>
      </c>
      <c r="F265" t="s">
        <v>8</v>
      </c>
      <c r="G265">
        <f t="shared" si="44"/>
        <v>2022</v>
      </c>
      <c r="H265" s="3" t="str">
        <f t="shared" si="45"/>
        <v>Aug</v>
      </c>
      <c r="I265" s="8">
        <f t="shared" si="46"/>
        <v>8</v>
      </c>
      <c r="J265" s="4">
        <f t="shared" si="47"/>
        <v>44774</v>
      </c>
      <c r="K265" s="3" t="str">
        <f t="shared" si="48"/>
        <v>2022-Aug</v>
      </c>
      <c r="L265" s="8">
        <f t="shared" si="49"/>
        <v>1721.52</v>
      </c>
      <c r="M265" s="8">
        <f t="shared" si="50"/>
        <v>841.31976923076911</v>
      </c>
      <c r="N265" s="6">
        <f t="shared" si="51"/>
        <v>2.046213654974506</v>
      </c>
      <c r="O265" s="8">
        <f t="shared" si="52"/>
        <v>1166.76</v>
      </c>
      <c r="P265" s="6">
        <f t="shared" si="53"/>
        <v>0.47547053378586857</v>
      </c>
      <c r="Q265" s="3" t="str">
        <f t="shared" si="54"/>
        <v>Growing</v>
      </c>
      <c r="R265" s="3">
        <f>IF(COUNTIFS($C$2:C265,C265,$J$2:J265,J265)=1,1,0)</f>
        <v>0</v>
      </c>
    </row>
    <row r="266" spans="1:18">
      <c r="A266" s="1">
        <v>44694</v>
      </c>
      <c r="B266" t="s">
        <v>17</v>
      </c>
      <c r="C266" t="s">
        <v>10</v>
      </c>
      <c r="D266">
        <v>7</v>
      </c>
      <c r="E266">
        <v>134.85</v>
      </c>
      <c r="F266" t="s">
        <v>14</v>
      </c>
      <c r="G266">
        <f t="shared" si="44"/>
        <v>2022</v>
      </c>
      <c r="H266" s="3" t="str">
        <f t="shared" si="45"/>
        <v>May</v>
      </c>
      <c r="I266" s="8">
        <f t="shared" si="46"/>
        <v>5</v>
      </c>
      <c r="J266" s="4">
        <f t="shared" si="47"/>
        <v>44682</v>
      </c>
      <c r="K266" s="3" t="str">
        <f t="shared" si="48"/>
        <v>2022-May</v>
      </c>
      <c r="L266" s="8">
        <f t="shared" si="49"/>
        <v>2645.1499999999996</v>
      </c>
      <c r="M266" s="8">
        <f t="shared" si="50"/>
        <v>764.83615384615382</v>
      </c>
      <c r="N266" s="6">
        <f t="shared" si="51"/>
        <v>3.4584531428048435</v>
      </c>
      <c r="O266" s="8">
        <f t="shared" si="52"/>
        <v>2185.4700000000003</v>
      </c>
      <c r="P266" s="6">
        <f t="shared" si="53"/>
        <v>0.21033461909795118</v>
      </c>
      <c r="Q266" s="3" t="str">
        <f t="shared" si="54"/>
        <v>Growing</v>
      </c>
      <c r="R266" s="3">
        <f>IF(COUNTIFS($C$2:C266,C266,$J$2:J266,J266)=1,1,0)</f>
        <v>0</v>
      </c>
    </row>
    <row r="267" spans="1:18">
      <c r="A267" s="1">
        <v>44604</v>
      </c>
      <c r="B267" t="s">
        <v>15</v>
      </c>
      <c r="C267" t="s">
        <v>20</v>
      </c>
      <c r="D267">
        <v>14</v>
      </c>
      <c r="E267">
        <v>290.45</v>
      </c>
      <c r="F267" t="s">
        <v>14</v>
      </c>
      <c r="G267">
        <f t="shared" si="44"/>
        <v>2022</v>
      </c>
      <c r="H267" s="3" t="str">
        <f t="shared" si="45"/>
        <v>Feb</v>
      </c>
      <c r="I267" s="8">
        <f t="shared" si="46"/>
        <v>2</v>
      </c>
      <c r="J267" s="4">
        <f t="shared" si="47"/>
        <v>44593</v>
      </c>
      <c r="K267" s="3" t="str">
        <f t="shared" si="48"/>
        <v>2022-Feb</v>
      </c>
      <c r="L267" s="8">
        <f t="shared" si="49"/>
        <v>1484.3899999999999</v>
      </c>
      <c r="M267" s="8">
        <f t="shared" si="50"/>
        <v>1111.962857142857</v>
      </c>
      <c r="N267" s="6">
        <f t="shared" si="51"/>
        <v>1.3349276825793257</v>
      </c>
      <c r="O267" s="8">
        <f t="shared" si="52"/>
        <v>680.2299999999999</v>
      </c>
      <c r="P267" s="6">
        <f t="shared" si="53"/>
        <v>1.1821883774605648</v>
      </c>
      <c r="Q267" s="3" t="str">
        <f t="shared" si="54"/>
        <v>Growing</v>
      </c>
      <c r="R267" s="3">
        <f>IF(COUNTIFS($C$2:C267,C267,$J$2:J267,J267)=1,1,0)</f>
        <v>0</v>
      </c>
    </row>
    <row r="268" spans="1:18">
      <c r="A268" s="1">
        <v>44634</v>
      </c>
      <c r="B268" t="s">
        <v>21</v>
      </c>
      <c r="C268" t="s">
        <v>24</v>
      </c>
      <c r="D268">
        <v>20</v>
      </c>
      <c r="E268">
        <v>244.72</v>
      </c>
      <c r="F268" t="s">
        <v>11</v>
      </c>
      <c r="G268">
        <f t="shared" si="44"/>
        <v>2022</v>
      </c>
      <c r="H268" s="3" t="str">
        <f t="shared" si="45"/>
        <v>Mar</v>
      </c>
      <c r="I268" s="8">
        <f t="shared" si="46"/>
        <v>3</v>
      </c>
      <c r="J268" s="4">
        <f t="shared" si="47"/>
        <v>44621</v>
      </c>
      <c r="K268" s="3" t="str">
        <f t="shared" si="48"/>
        <v>2022-Mar</v>
      </c>
      <c r="L268" s="8">
        <f t="shared" si="49"/>
        <v>760.68999999999994</v>
      </c>
      <c r="M268" s="8">
        <f t="shared" si="50"/>
        <v>1313.9597333333331</v>
      </c>
      <c r="N268" s="6">
        <f t="shared" si="51"/>
        <v>0.57892946085207286</v>
      </c>
      <c r="O268" s="8">
        <f t="shared" si="52"/>
        <v>930.81000000000006</v>
      </c>
      <c r="P268" s="6">
        <f t="shared" si="53"/>
        <v>-0.18276554828590164</v>
      </c>
      <c r="Q268" s="3" t="str">
        <f t="shared" si="54"/>
        <v>Degrowing</v>
      </c>
      <c r="R268" s="3">
        <f>IF(COUNTIFS($C$2:C268,C268,$J$2:J268,J268)=1,1,0)</f>
        <v>0</v>
      </c>
    </row>
    <row r="269" spans="1:18">
      <c r="A269" s="1">
        <v>44723</v>
      </c>
      <c r="B269" t="s">
        <v>9</v>
      </c>
      <c r="C269" t="s">
        <v>7</v>
      </c>
      <c r="D269">
        <v>4</v>
      </c>
      <c r="E269">
        <v>75.989999999999995</v>
      </c>
      <c r="F269" t="s">
        <v>14</v>
      </c>
      <c r="G269">
        <f t="shared" si="44"/>
        <v>2022</v>
      </c>
      <c r="H269" s="3" t="str">
        <f t="shared" si="45"/>
        <v>Jun</v>
      </c>
      <c r="I269" s="8">
        <f t="shared" si="46"/>
        <v>6</v>
      </c>
      <c r="J269" s="4">
        <f t="shared" si="47"/>
        <v>44713</v>
      </c>
      <c r="K269" s="3" t="str">
        <f t="shared" si="48"/>
        <v>2022-Jun</v>
      </c>
      <c r="L269" s="8">
        <f t="shared" si="49"/>
        <v>1013.7</v>
      </c>
      <c r="M269" s="8">
        <f t="shared" si="50"/>
        <v>862.01874999999984</v>
      </c>
      <c r="N269" s="6">
        <f t="shared" si="51"/>
        <v>1.1759604996991078</v>
      </c>
      <c r="O269" s="8">
        <f t="shared" si="52"/>
        <v>459.62</v>
      </c>
      <c r="P269" s="6">
        <f t="shared" si="53"/>
        <v>1.2055176014968889</v>
      </c>
      <c r="Q269" s="3" t="str">
        <f t="shared" si="54"/>
        <v>Growing</v>
      </c>
      <c r="R269" s="3">
        <f>IF(COUNTIFS($C$2:C269,C269,$J$2:J269,J269)=1,1,0)</f>
        <v>0</v>
      </c>
    </row>
    <row r="270" spans="1:18">
      <c r="A270" s="1">
        <v>44623</v>
      </c>
      <c r="B270" t="s">
        <v>17</v>
      </c>
      <c r="C270" t="s">
        <v>19</v>
      </c>
      <c r="D270">
        <v>13</v>
      </c>
      <c r="E270">
        <v>318.33</v>
      </c>
      <c r="F270" t="s">
        <v>16</v>
      </c>
      <c r="G270">
        <f t="shared" si="44"/>
        <v>2022</v>
      </c>
      <c r="H270" s="3" t="str">
        <f t="shared" si="45"/>
        <v>Mar</v>
      </c>
      <c r="I270" s="8">
        <f t="shared" si="46"/>
        <v>3</v>
      </c>
      <c r="J270" s="4">
        <f t="shared" si="47"/>
        <v>44621</v>
      </c>
      <c r="K270" s="3" t="str">
        <f t="shared" si="48"/>
        <v>2022-Mar</v>
      </c>
      <c r="L270" s="8">
        <f t="shared" si="49"/>
        <v>1095.8999999999999</v>
      </c>
      <c r="M270" s="8">
        <f t="shared" si="50"/>
        <v>1418.943555555556</v>
      </c>
      <c r="N270" s="6">
        <f t="shared" si="51"/>
        <v>0.77233516140176861</v>
      </c>
      <c r="O270" s="8">
        <f t="shared" si="52"/>
        <v>519.11</v>
      </c>
      <c r="P270" s="6">
        <f t="shared" si="53"/>
        <v>1.1111132515266511</v>
      </c>
      <c r="Q270" s="3" t="str">
        <f t="shared" si="54"/>
        <v>Growing</v>
      </c>
      <c r="R270" s="3">
        <f>IF(COUNTIFS($C$2:C270,C270,$J$2:J270,J270)=1,1,0)</f>
        <v>0</v>
      </c>
    </row>
    <row r="271" spans="1:18">
      <c r="A271" s="1">
        <v>44568</v>
      </c>
      <c r="B271" t="s">
        <v>17</v>
      </c>
      <c r="C271" t="s">
        <v>20</v>
      </c>
      <c r="D271">
        <v>10</v>
      </c>
      <c r="E271">
        <v>220.07</v>
      </c>
      <c r="F271" t="s">
        <v>16</v>
      </c>
      <c r="G271">
        <f t="shared" si="44"/>
        <v>2022</v>
      </c>
      <c r="H271" s="3" t="str">
        <f t="shared" si="45"/>
        <v>Jan</v>
      </c>
      <c r="I271" s="8">
        <f t="shared" si="46"/>
        <v>1</v>
      </c>
      <c r="J271" s="4">
        <f t="shared" si="47"/>
        <v>44562</v>
      </c>
      <c r="K271" s="3" t="str">
        <f t="shared" si="48"/>
        <v>2022-Jan</v>
      </c>
      <c r="L271" s="8">
        <f t="shared" si="49"/>
        <v>680.2299999999999</v>
      </c>
      <c r="M271" s="8">
        <f t="shared" si="50"/>
        <v>1556.7479999999998</v>
      </c>
      <c r="N271" s="6">
        <f t="shared" si="51"/>
        <v>0.43695575648724133</v>
      </c>
      <c r="O271" s="8">
        <f t="shared" si="52"/>
        <v>0</v>
      </c>
      <c r="P271" s="6">
        <f t="shared" si="53"/>
        <v>0</v>
      </c>
      <c r="Q271" s="3" t="str">
        <f t="shared" si="54"/>
        <v>No Growth</v>
      </c>
      <c r="R271" s="3">
        <f>IF(COUNTIFS($C$2:C271,C271,$J$2:J271,J271)=1,1,0)</f>
        <v>0</v>
      </c>
    </row>
    <row r="272" spans="1:18">
      <c r="A272" s="1">
        <v>44574</v>
      </c>
      <c r="B272" t="s">
        <v>9</v>
      </c>
      <c r="C272" t="s">
        <v>19</v>
      </c>
      <c r="D272">
        <v>17</v>
      </c>
      <c r="E272">
        <v>311.83</v>
      </c>
      <c r="F272" t="s">
        <v>11</v>
      </c>
      <c r="G272">
        <f t="shared" si="44"/>
        <v>2022</v>
      </c>
      <c r="H272" s="3" t="str">
        <f t="shared" si="45"/>
        <v>Jan</v>
      </c>
      <c r="I272" s="8">
        <f t="shared" si="46"/>
        <v>1</v>
      </c>
      <c r="J272" s="4">
        <f t="shared" si="47"/>
        <v>44562</v>
      </c>
      <c r="K272" s="3" t="str">
        <f t="shared" si="48"/>
        <v>2022-Jan</v>
      </c>
      <c r="L272" s="8">
        <f t="shared" si="49"/>
        <v>1368.74</v>
      </c>
      <c r="M272" s="8">
        <f t="shared" si="50"/>
        <v>1418.943555555556</v>
      </c>
      <c r="N272" s="6">
        <f t="shared" si="51"/>
        <v>0.9646190608787818</v>
      </c>
      <c r="O272" s="8">
        <f t="shared" si="52"/>
        <v>0</v>
      </c>
      <c r="P272" s="6">
        <f t="shared" si="53"/>
        <v>0</v>
      </c>
      <c r="Q272" s="3" t="str">
        <f t="shared" si="54"/>
        <v>No Growth</v>
      </c>
      <c r="R272" s="3">
        <f>IF(COUNTIFS($C$2:C272,C272,$J$2:J272,J272)=1,1,0)</f>
        <v>0</v>
      </c>
    </row>
    <row r="273" spans="1:18">
      <c r="A273" s="1">
        <v>44588</v>
      </c>
      <c r="B273" t="s">
        <v>9</v>
      </c>
      <c r="C273" t="s">
        <v>24</v>
      </c>
      <c r="D273">
        <v>12</v>
      </c>
      <c r="E273">
        <v>158.5</v>
      </c>
      <c r="F273" t="s">
        <v>22</v>
      </c>
      <c r="G273">
        <f t="shared" si="44"/>
        <v>2022</v>
      </c>
      <c r="H273" s="3" t="str">
        <f t="shared" si="45"/>
        <v>Jan</v>
      </c>
      <c r="I273" s="8">
        <f t="shared" si="46"/>
        <v>1</v>
      </c>
      <c r="J273" s="4">
        <f t="shared" si="47"/>
        <v>44562</v>
      </c>
      <c r="K273" s="3" t="str">
        <f t="shared" si="48"/>
        <v>2022-Jan</v>
      </c>
      <c r="L273" s="8">
        <f t="shared" si="49"/>
        <v>1214.3899999999999</v>
      </c>
      <c r="M273" s="8">
        <f t="shared" si="50"/>
        <v>821.22483333333321</v>
      </c>
      <c r="N273" s="6">
        <f t="shared" si="51"/>
        <v>1.4787546000902312</v>
      </c>
      <c r="O273" s="8">
        <f t="shared" si="52"/>
        <v>0</v>
      </c>
      <c r="P273" s="6">
        <f t="shared" si="53"/>
        <v>0</v>
      </c>
      <c r="Q273" s="3" t="str">
        <f t="shared" si="54"/>
        <v>No Growth</v>
      </c>
      <c r="R273" s="3">
        <f>IF(COUNTIFS($C$2:C273,C273,$J$2:J273,J273)=1,1,0)</f>
        <v>0</v>
      </c>
    </row>
    <row r="274" spans="1:18">
      <c r="A274" s="1">
        <v>44749</v>
      </c>
      <c r="B274" t="s">
        <v>6</v>
      </c>
      <c r="C274" t="s">
        <v>23</v>
      </c>
      <c r="D274">
        <v>5</v>
      </c>
      <c r="E274">
        <v>57.11</v>
      </c>
      <c r="F274" t="s">
        <v>11</v>
      </c>
      <c r="G274">
        <f t="shared" si="44"/>
        <v>2022</v>
      </c>
      <c r="H274" s="3" t="str">
        <f t="shared" si="45"/>
        <v>Jul</v>
      </c>
      <c r="I274" s="8">
        <f t="shared" si="46"/>
        <v>7</v>
      </c>
      <c r="J274" s="4">
        <f t="shared" si="47"/>
        <v>44743</v>
      </c>
      <c r="K274" s="3" t="str">
        <f t="shared" si="48"/>
        <v>2022-Jul</v>
      </c>
      <c r="L274" s="8">
        <f t="shared" si="49"/>
        <v>1698.9899999999998</v>
      </c>
      <c r="M274" s="8">
        <f t="shared" si="50"/>
        <v>1202.5669090909096</v>
      </c>
      <c r="N274" s="6">
        <f t="shared" si="51"/>
        <v>1.4128028861898132</v>
      </c>
      <c r="O274" s="8">
        <f t="shared" si="52"/>
        <v>2252.73</v>
      </c>
      <c r="P274" s="6">
        <f t="shared" si="53"/>
        <v>-0.24580841911813675</v>
      </c>
      <c r="Q274" s="3" t="str">
        <f t="shared" si="54"/>
        <v>Degrowing</v>
      </c>
      <c r="R274" s="3">
        <f>IF(COUNTIFS($C$2:C274,C274,$J$2:J274,J274)=1,1,0)</f>
        <v>0</v>
      </c>
    </row>
    <row r="275" spans="1:18">
      <c r="A275" s="1">
        <v>44605</v>
      </c>
      <c r="B275" t="s">
        <v>12</v>
      </c>
      <c r="C275" t="s">
        <v>19</v>
      </c>
      <c r="D275">
        <v>7</v>
      </c>
      <c r="E275">
        <v>125.02</v>
      </c>
      <c r="F275" t="s">
        <v>8</v>
      </c>
      <c r="G275">
        <f t="shared" si="44"/>
        <v>2022</v>
      </c>
      <c r="H275" s="3" t="str">
        <f t="shared" si="45"/>
        <v>Feb</v>
      </c>
      <c r="I275" s="8">
        <f t="shared" si="46"/>
        <v>2</v>
      </c>
      <c r="J275" s="4">
        <f t="shared" si="47"/>
        <v>44593</v>
      </c>
      <c r="K275" s="3" t="str">
        <f t="shared" si="48"/>
        <v>2022-Feb</v>
      </c>
      <c r="L275" s="8">
        <f t="shared" si="49"/>
        <v>519.11</v>
      </c>
      <c r="M275" s="8">
        <f t="shared" si="50"/>
        <v>1773.6794444444454</v>
      </c>
      <c r="N275" s="6">
        <f t="shared" si="51"/>
        <v>0.29267408021554675</v>
      </c>
      <c r="O275" s="8">
        <f t="shared" si="52"/>
        <v>1368.74</v>
      </c>
      <c r="P275" s="6">
        <f t="shared" si="53"/>
        <v>-0.62073878165319929</v>
      </c>
      <c r="Q275" s="3" t="str">
        <f t="shared" si="54"/>
        <v>Degrowing</v>
      </c>
      <c r="R275" s="3">
        <f>IF(COUNTIFS($C$2:C275,C275,$J$2:J275,J275)=1,1,0)</f>
        <v>0</v>
      </c>
    </row>
    <row r="276" spans="1:18">
      <c r="A276" s="1">
        <v>44659</v>
      </c>
      <c r="B276" t="s">
        <v>12</v>
      </c>
      <c r="C276" t="s">
        <v>23</v>
      </c>
      <c r="D276">
        <v>20</v>
      </c>
      <c r="E276">
        <v>494.08</v>
      </c>
      <c r="F276" t="s">
        <v>16</v>
      </c>
      <c r="G276">
        <f t="shared" si="44"/>
        <v>2022</v>
      </c>
      <c r="H276" s="3" t="str">
        <f t="shared" si="45"/>
        <v>Apr</v>
      </c>
      <c r="I276" s="8">
        <f t="shared" si="46"/>
        <v>4</v>
      </c>
      <c r="J276" s="4">
        <f t="shared" si="47"/>
        <v>44652</v>
      </c>
      <c r="K276" s="3" t="str">
        <f t="shared" si="48"/>
        <v>2022-Apr</v>
      </c>
      <c r="L276" s="8">
        <f t="shared" si="49"/>
        <v>1623.23</v>
      </c>
      <c r="M276" s="8">
        <f t="shared" si="50"/>
        <v>1402.9947272727277</v>
      </c>
      <c r="N276" s="6">
        <f t="shared" si="51"/>
        <v>1.156975125028008</v>
      </c>
      <c r="O276" s="8">
        <f t="shared" si="52"/>
        <v>1922.5800000000002</v>
      </c>
      <c r="P276" s="6">
        <f t="shared" si="53"/>
        <v>-0.15570223345712539</v>
      </c>
      <c r="Q276" s="3" t="str">
        <f t="shared" si="54"/>
        <v>Degrowing</v>
      </c>
      <c r="R276" s="3">
        <f>IF(COUNTIFS($C$2:C276,C276,$J$2:J276,J276)=1,1,0)</f>
        <v>0</v>
      </c>
    </row>
    <row r="277" spans="1:18">
      <c r="A277" s="1">
        <v>44744</v>
      </c>
      <c r="B277" t="s">
        <v>9</v>
      </c>
      <c r="C277" t="s">
        <v>19</v>
      </c>
      <c r="D277">
        <v>17</v>
      </c>
      <c r="E277">
        <v>374.2</v>
      </c>
      <c r="F277" t="s">
        <v>8</v>
      </c>
      <c r="G277">
        <f t="shared" si="44"/>
        <v>2022</v>
      </c>
      <c r="H277" s="3" t="str">
        <f t="shared" si="45"/>
        <v>Jul</v>
      </c>
      <c r="I277" s="8">
        <f t="shared" si="46"/>
        <v>7</v>
      </c>
      <c r="J277" s="4">
        <f t="shared" si="47"/>
        <v>44743</v>
      </c>
      <c r="K277" s="3" t="str">
        <f t="shared" si="48"/>
        <v>2022-Jul</v>
      </c>
      <c r="L277" s="8">
        <f t="shared" si="49"/>
        <v>1767.0500000000002</v>
      </c>
      <c r="M277" s="8">
        <f t="shared" si="50"/>
        <v>709.47177777777802</v>
      </c>
      <c r="N277" s="6">
        <f t="shared" si="51"/>
        <v>2.4906558024545955</v>
      </c>
      <c r="O277" s="8">
        <f t="shared" si="52"/>
        <v>1655.98</v>
      </c>
      <c r="P277" s="6">
        <f t="shared" si="53"/>
        <v>6.7072066087754775E-2</v>
      </c>
      <c r="Q277" s="3" t="str">
        <f t="shared" si="54"/>
        <v>Growing</v>
      </c>
      <c r="R277" s="3">
        <f>IF(COUNTIFS($C$2:C277,C277,$J$2:J277,J277)=1,1,0)</f>
        <v>0</v>
      </c>
    </row>
    <row r="278" spans="1:18">
      <c r="A278" s="1">
        <v>44606</v>
      </c>
      <c r="B278" t="s">
        <v>6</v>
      </c>
      <c r="C278" t="s">
        <v>10</v>
      </c>
      <c r="D278">
        <v>15</v>
      </c>
      <c r="E278">
        <v>312.47000000000003</v>
      </c>
      <c r="F278" t="s">
        <v>11</v>
      </c>
      <c r="G278">
        <f t="shared" si="44"/>
        <v>2022</v>
      </c>
      <c r="H278" s="3" t="str">
        <f t="shared" si="45"/>
        <v>Feb</v>
      </c>
      <c r="I278" s="8">
        <f t="shared" si="46"/>
        <v>2</v>
      </c>
      <c r="J278" s="4">
        <f t="shared" si="47"/>
        <v>44593</v>
      </c>
      <c r="K278" s="3" t="str">
        <f t="shared" si="48"/>
        <v>2022-Feb</v>
      </c>
      <c r="L278" s="8">
        <f t="shared" si="49"/>
        <v>1170.8000000000002</v>
      </c>
      <c r="M278" s="8">
        <f t="shared" si="50"/>
        <v>1682.6395384615382</v>
      </c>
      <c r="N278" s="6">
        <f t="shared" si="51"/>
        <v>0.69581153493545012</v>
      </c>
      <c r="O278" s="8">
        <f t="shared" si="52"/>
        <v>491.53</v>
      </c>
      <c r="P278" s="6">
        <f t="shared" si="53"/>
        <v>1.3819502370150352</v>
      </c>
      <c r="Q278" s="3" t="str">
        <f t="shared" si="54"/>
        <v>Growing</v>
      </c>
      <c r="R278" s="3">
        <f>IF(COUNTIFS($C$2:C278,C278,$J$2:J278,J278)=1,1,0)</f>
        <v>0</v>
      </c>
    </row>
    <row r="279" spans="1:18">
      <c r="A279" s="1">
        <v>44757</v>
      </c>
      <c r="B279" t="s">
        <v>21</v>
      </c>
      <c r="C279" t="s">
        <v>13</v>
      </c>
      <c r="D279">
        <v>16</v>
      </c>
      <c r="E279">
        <v>371.27</v>
      </c>
      <c r="F279" t="s">
        <v>22</v>
      </c>
      <c r="G279">
        <f t="shared" si="44"/>
        <v>2022</v>
      </c>
      <c r="H279" s="3" t="str">
        <f t="shared" si="45"/>
        <v>Jul</v>
      </c>
      <c r="I279" s="8">
        <f t="shared" si="46"/>
        <v>7</v>
      </c>
      <c r="J279" s="4">
        <f t="shared" si="47"/>
        <v>44743</v>
      </c>
      <c r="K279" s="3" t="str">
        <f t="shared" si="48"/>
        <v>2022-Jul</v>
      </c>
      <c r="L279" s="8">
        <f t="shared" si="49"/>
        <v>1653.05</v>
      </c>
      <c r="M279" s="8">
        <f t="shared" si="50"/>
        <v>842.75439393939394</v>
      </c>
      <c r="N279" s="6">
        <f t="shared" si="51"/>
        <v>1.9614848784981569</v>
      </c>
      <c r="O279" s="8">
        <f t="shared" si="52"/>
        <v>585.20999999999992</v>
      </c>
      <c r="P279" s="6">
        <f t="shared" si="53"/>
        <v>1.8247124963688253</v>
      </c>
      <c r="Q279" s="3" t="str">
        <f t="shared" si="54"/>
        <v>Growing</v>
      </c>
      <c r="R279" s="3">
        <f>IF(COUNTIFS($C$2:C279,C279,$J$2:J279,J279)=1,1,0)</f>
        <v>0</v>
      </c>
    </row>
    <row r="280" spans="1:18">
      <c r="A280" s="1">
        <v>44600</v>
      </c>
      <c r="B280" t="s">
        <v>15</v>
      </c>
      <c r="C280" t="s">
        <v>7</v>
      </c>
      <c r="D280">
        <v>2</v>
      </c>
      <c r="E280">
        <v>49.7</v>
      </c>
      <c r="F280" t="s">
        <v>14</v>
      </c>
      <c r="G280">
        <f t="shared" si="44"/>
        <v>2022</v>
      </c>
      <c r="H280" s="3" t="str">
        <f t="shared" si="45"/>
        <v>Feb</v>
      </c>
      <c r="I280" s="8">
        <f t="shared" si="46"/>
        <v>2</v>
      </c>
      <c r="J280" s="4">
        <f t="shared" si="47"/>
        <v>44593</v>
      </c>
      <c r="K280" s="3" t="str">
        <f t="shared" si="48"/>
        <v>2022-Feb</v>
      </c>
      <c r="L280" s="8">
        <f t="shared" si="49"/>
        <v>837.85</v>
      </c>
      <c r="M280" s="8">
        <f t="shared" si="50"/>
        <v>862.01874999999984</v>
      </c>
      <c r="N280" s="6">
        <f t="shared" si="51"/>
        <v>0.97196261682243013</v>
      </c>
      <c r="O280" s="8">
        <f t="shared" si="52"/>
        <v>656.7700000000001</v>
      </c>
      <c r="P280" s="6">
        <f t="shared" si="53"/>
        <v>0.27571295887449165</v>
      </c>
      <c r="Q280" s="3" t="str">
        <f t="shared" si="54"/>
        <v>Growing</v>
      </c>
      <c r="R280" s="3">
        <f>IF(COUNTIFS($C$2:C280,C280,$J$2:J280,J280)=1,1,0)</f>
        <v>0</v>
      </c>
    </row>
    <row r="281" spans="1:18">
      <c r="A281" s="1">
        <v>44608</v>
      </c>
      <c r="B281" t="s">
        <v>17</v>
      </c>
      <c r="C281" t="s">
        <v>23</v>
      </c>
      <c r="D281">
        <v>1</v>
      </c>
      <c r="E281">
        <v>8.77</v>
      </c>
      <c r="F281" t="s">
        <v>16</v>
      </c>
      <c r="G281">
        <f t="shared" si="44"/>
        <v>2022</v>
      </c>
      <c r="H281" s="3" t="str">
        <f t="shared" si="45"/>
        <v>Feb</v>
      </c>
      <c r="I281" s="8">
        <f t="shared" si="46"/>
        <v>2</v>
      </c>
      <c r="J281" s="4">
        <f t="shared" si="47"/>
        <v>44593</v>
      </c>
      <c r="K281" s="3" t="str">
        <f t="shared" si="48"/>
        <v>2022-Feb</v>
      </c>
      <c r="L281" s="8">
        <f t="shared" si="49"/>
        <v>1770.3600000000001</v>
      </c>
      <c r="M281" s="8">
        <f t="shared" si="50"/>
        <v>1052.2460454545458</v>
      </c>
      <c r="N281" s="6">
        <f t="shared" si="51"/>
        <v>1.6824582117913742</v>
      </c>
      <c r="O281" s="8">
        <f t="shared" si="52"/>
        <v>241.89999999999998</v>
      </c>
      <c r="P281" s="6">
        <f t="shared" si="53"/>
        <v>6.3185613890037216</v>
      </c>
      <c r="Q281" s="3" t="str">
        <f t="shared" si="54"/>
        <v>Growing</v>
      </c>
      <c r="R281" s="3">
        <f>IF(COUNTIFS($C$2:C281,C281,$J$2:J281,J281)=1,1,0)</f>
        <v>0</v>
      </c>
    </row>
    <row r="282" spans="1:18">
      <c r="A282" s="1">
        <v>44795</v>
      </c>
      <c r="B282" t="s">
        <v>18</v>
      </c>
      <c r="C282" t="s">
        <v>20</v>
      </c>
      <c r="D282">
        <v>7</v>
      </c>
      <c r="E282">
        <v>146.37</v>
      </c>
      <c r="F282" t="s">
        <v>22</v>
      </c>
      <c r="G282">
        <f t="shared" si="44"/>
        <v>2022</v>
      </c>
      <c r="H282" s="3" t="str">
        <f t="shared" si="45"/>
        <v>Aug</v>
      </c>
      <c r="I282" s="8">
        <f t="shared" si="46"/>
        <v>8</v>
      </c>
      <c r="J282" s="4">
        <f t="shared" si="47"/>
        <v>44774</v>
      </c>
      <c r="K282" s="3" t="str">
        <f t="shared" si="48"/>
        <v>2022-Aug</v>
      </c>
      <c r="L282" s="8">
        <f t="shared" si="49"/>
        <v>507.65</v>
      </c>
      <c r="M282" s="8">
        <f t="shared" si="50"/>
        <v>1945.9349999999999</v>
      </c>
      <c r="N282" s="6">
        <f t="shared" si="51"/>
        <v>0.26087716187847998</v>
      </c>
      <c r="O282" s="8">
        <f t="shared" si="52"/>
        <v>1056.4100000000001</v>
      </c>
      <c r="P282" s="6">
        <f t="shared" si="53"/>
        <v>-0.51945740763529313</v>
      </c>
      <c r="Q282" s="3" t="str">
        <f t="shared" si="54"/>
        <v>Degrowing</v>
      </c>
      <c r="R282" s="3">
        <f>IF(COUNTIFS($C$2:C282,C282,$J$2:J282,J282)=1,1,0)</f>
        <v>0</v>
      </c>
    </row>
    <row r="283" spans="1:18">
      <c r="A283" s="1">
        <v>44696</v>
      </c>
      <c r="B283" t="s">
        <v>15</v>
      </c>
      <c r="C283" t="s">
        <v>13</v>
      </c>
      <c r="D283">
        <v>15</v>
      </c>
      <c r="E283">
        <v>273.64999999999998</v>
      </c>
      <c r="F283" t="s">
        <v>11</v>
      </c>
      <c r="G283">
        <f t="shared" si="44"/>
        <v>2022</v>
      </c>
      <c r="H283" s="3" t="str">
        <f t="shared" si="45"/>
        <v>May</v>
      </c>
      <c r="I283" s="8">
        <f t="shared" si="46"/>
        <v>5</v>
      </c>
      <c r="J283" s="4">
        <f t="shared" si="47"/>
        <v>44682</v>
      </c>
      <c r="K283" s="3" t="str">
        <f t="shared" si="48"/>
        <v>2022-May</v>
      </c>
      <c r="L283" s="8">
        <f t="shared" si="49"/>
        <v>1938.8200000000002</v>
      </c>
      <c r="M283" s="8">
        <f t="shared" si="50"/>
        <v>758.4789545454546</v>
      </c>
      <c r="N283" s="6">
        <f t="shared" si="51"/>
        <v>2.5561948533719128</v>
      </c>
      <c r="O283" s="8">
        <f t="shared" si="52"/>
        <v>972.89</v>
      </c>
      <c r="P283" s="6">
        <f t="shared" si="53"/>
        <v>0.99284605659427083</v>
      </c>
      <c r="Q283" s="3" t="str">
        <f t="shared" si="54"/>
        <v>Growing</v>
      </c>
      <c r="R283" s="3">
        <f>IF(COUNTIFS($C$2:C283,C283,$J$2:J283,J283)=1,1,0)</f>
        <v>0</v>
      </c>
    </row>
    <row r="284" spans="1:18">
      <c r="A284" s="1">
        <v>44757</v>
      </c>
      <c r="B284" t="s">
        <v>21</v>
      </c>
      <c r="C284" t="s">
        <v>24</v>
      </c>
      <c r="D284">
        <v>14</v>
      </c>
      <c r="E284">
        <v>185.36</v>
      </c>
      <c r="F284" t="s">
        <v>16</v>
      </c>
      <c r="G284">
        <f t="shared" si="44"/>
        <v>2022</v>
      </c>
      <c r="H284" s="3" t="str">
        <f t="shared" si="45"/>
        <v>Jul</v>
      </c>
      <c r="I284" s="8">
        <f t="shared" si="46"/>
        <v>7</v>
      </c>
      <c r="J284" s="4">
        <f t="shared" si="47"/>
        <v>44743</v>
      </c>
      <c r="K284" s="3" t="str">
        <f t="shared" si="48"/>
        <v>2022-Jul</v>
      </c>
      <c r="L284" s="8">
        <f t="shared" si="49"/>
        <v>874.87</v>
      </c>
      <c r="M284" s="8">
        <f t="shared" si="50"/>
        <v>938.54266666666649</v>
      </c>
      <c r="N284" s="6">
        <f t="shared" si="51"/>
        <v>0.9321579413189528</v>
      </c>
      <c r="O284" s="8">
        <f t="shared" si="52"/>
        <v>704.09</v>
      </c>
      <c r="P284" s="6">
        <f t="shared" si="53"/>
        <v>0.24255421892087653</v>
      </c>
      <c r="Q284" s="3" t="str">
        <f t="shared" si="54"/>
        <v>Growing</v>
      </c>
      <c r="R284" s="3">
        <f>IF(COUNTIFS($C$2:C284,C284,$J$2:J284,J284)=1,1,0)</f>
        <v>0</v>
      </c>
    </row>
    <row r="285" spans="1:18">
      <c r="A285" s="1">
        <v>44622</v>
      </c>
      <c r="B285" t="s">
        <v>17</v>
      </c>
      <c r="C285" t="s">
        <v>20</v>
      </c>
      <c r="D285">
        <v>17</v>
      </c>
      <c r="E285">
        <v>219.07</v>
      </c>
      <c r="F285" t="s">
        <v>11</v>
      </c>
      <c r="G285">
        <f t="shared" si="44"/>
        <v>2022</v>
      </c>
      <c r="H285" s="3" t="str">
        <f t="shared" si="45"/>
        <v>Mar</v>
      </c>
      <c r="I285" s="8">
        <f t="shared" si="46"/>
        <v>3</v>
      </c>
      <c r="J285" s="4">
        <f t="shared" si="47"/>
        <v>44621</v>
      </c>
      <c r="K285" s="3" t="str">
        <f t="shared" si="48"/>
        <v>2022-Mar</v>
      </c>
      <c r="L285" s="8">
        <f t="shared" si="49"/>
        <v>690.2</v>
      </c>
      <c r="M285" s="8">
        <f t="shared" si="50"/>
        <v>1945.9349999999999</v>
      </c>
      <c r="N285" s="6">
        <f t="shared" si="51"/>
        <v>0.35468810623170871</v>
      </c>
      <c r="O285" s="8">
        <f t="shared" si="52"/>
        <v>1484.3899999999999</v>
      </c>
      <c r="P285" s="6">
        <f t="shared" si="53"/>
        <v>-0.53502785656060736</v>
      </c>
      <c r="Q285" s="3" t="str">
        <f t="shared" si="54"/>
        <v>Degrowing</v>
      </c>
      <c r="R285" s="3">
        <f>IF(COUNTIFS($C$2:C285,C285,$J$2:J285,J285)=1,1,0)</f>
        <v>0</v>
      </c>
    </row>
    <row r="286" spans="1:18">
      <c r="A286" s="1">
        <v>44568</v>
      </c>
      <c r="B286" t="s">
        <v>21</v>
      </c>
      <c r="C286" t="s">
        <v>24</v>
      </c>
      <c r="D286">
        <v>12</v>
      </c>
      <c r="E286">
        <v>134.44</v>
      </c>
      <c r="F286" t="s">
        <v>14</v>
      </c>
      <c r="G286">
        <f t="shared" si="44"/>
        <v>2022</v>
      </c>
      <c r="H286" s="3" t="str">
        <f t="shared" si="45"/>
        <v>Jan</v>
      </c>
      <c r="I286" s="8">
        <f t="shared" si="46"/>
        <v>1</v>
      </c>
      <c r="J286" s="4">
        <f t="shared" si="47"/>
        <v>44562</v>
      </c>
      <c r="K286" s="3" t="str">
        <f t="shared" si="48"/>
        <v>2022-Jan</v>
      </c>
      <c r="L286" s="8">
        <f t="shared" si="49"/>
        <v>1214.3899999999999</v>
      </c>
      <c r="M286" s="8">
        <f t="shared" si="50"/>
        <v>821.22483333333321</v>
      </c>
      <c r="N286" s="6">
        <f t="shared" si="51"/>
        <v>1.4787546000902312</v>
      </c>
      <c r="O286" s="8">
        <f t="shared" si="52"/>
        <v>0</v>
      </c>
      <c r="P286" s="6">
        <f t="shared" si="53"/>
        <v>0</v>
      </c>
      <c r="Q286" s="3" t="str">
        <f t="shared" si="54"/>
        <v>No Growth</v>
      </c>
      <c r="R286" s="3">
        <f>IF(COUNTIFS($C$2:C286,C286,$J$2:J286,J286)=1,1,0)</f>
        <v>0</v>
      </c>
    </row>
    <row r="287" spans="1:18">
      <c r="A287" s="1">
        <v>44603</v>
      </c>
      <c r="B287" t="s">
        <v>17</v>
      </c>
      <c r="C287" t="s">
        <v>23</v>
      </c>
      <c r="D287">
        <v>19</v>
      </c>
      <c r="E287">
        <v>474.65</v>
      </c>
      <c r="F287" t="s">
        <v>8</v>
      </c>
      <c r="G287">
        <f t="shared" si="44"/>
        <v>2022</v>
      </c>
      <c r="H287" s="3" t="str">
        <f t="shared" si="45"/>
        <v>Feb</v>
      </c>
      <c r="I287" s="8">
        <f t="shared" si="46"/>
        <v>2</v>
      </c>
      <c r="J287" s="4">
        <f t="shared" si="47"/>
        <v>44593</v>
      </c>
      <c r="K287" s="3" t="str">
        <f t="shared" si="48"/>
        <v>2022-Feb</v>
      </c>
      <c r="L287" s="8">
        <f t="shared" si="49"/>
        <v>1770.3600000000001</v>
      </c>
      <c r="M287" s="8">
        <f t="shared" si="50"/>
        <v>1052.2460454545458</v>
      </c>
      <c r="N287" s="6">
        <f t="shared" si="51"/>
        <v>1.6824582117913742</v>
      </c>
      <c r="O287" s="8">
        <f t="shared" si="52"/>
        <v>241.89999999999998</v>
      </c>
      <c r="P287" s="6">
        <f t="shared" si="53"/>
        <v>6.3185613890037216</v>
      </c>
      <c r="Q287" s="3" t="str">
        <f t="shared" si="54"/>
        <v>Growing</v>
      </c>
      <c r="R287" s="3">
        <f>IF(COUNTIFS($C$2:C287,C287,$J$2:J287,J287)=1,1,0)</f>
        <v>0</v>
      </c>
    </row>
    <row r="288" spans="1:18">
      <c r="A288" s="1">
        <v>44597</v>
      </c>
      <c r="B288" t="s">
        <v>17</v>
      </c>
      <c r="C288" t="s">
        <v>10</v>
      </c>
      <c r="D288">
        <v>14</v>
      </c>
      <c r="E288">
        <v>289.68</v>
      </c>
      <c r="F288" t="s">
        <v>16</v>
      </c>
      <c r="G288">
        <f t="shared" si="44"/>
        <v>2022</v>
      </c>
      <c r="H288" s="3" t="str">
        <f t="shared" si="45"/>
        <v>Feb</v>
      </c>
      <c r="I288" s="8">
        <f t="shared" si="46"/>
        <v>2</v>
      </c>
      <c r="J288" s="4">
        <f t="shared" si="47"/>
        <v>44593</v>
      </c>
      <c r="K288" s="3" t="str">
        <f t="shared" si="48"/>
        <v>2022-Feb</v>
      </c>
      <c r="L288" s="8">
        <f t="shared" si="49"/>
        <v>1170.8000000000002</v>
      </c>
      <c r="M288" s="8">
        <f t="shared" si="50"/>
        <v>1682.6395384615382</v>
      </c>
      <c r="N288" s="6">
        <f t="shared" si="51"/>
        <v>0.69581153493545012</v>
      </c>
      <c r="O288" s="8">
        <f t="shared" si="52"/>
        <v>491.53</v>
      </c>
      <c r="P288" s="6">
        <f t="shared" si="53"/>
        <v>1.3819502370150352</v>
      </c>
      <c r="Q288" s="3" t="str">
        <f t="shared" si="54"/>
        <v>Growing</v>
      </c>
      <c r="R288" s="3">
        <f>IF(COUNTIFS($C$2:C288,C288,$J$2:J288,J288)=1,1,0)</f>
        <v>0</v>
      </c>
    </row>
    <row r="289" spans="1:18">
      <c r="A289" s="1">
        <v>44678</v>
      </c>
      <c r="B289" t="s">
        <v>12</v>
      </c>
      <c r="C289" t="s">
        <v>24</v>
      </c>
      <c r="D289">
        <v>18</v>
      </c>
      <c r="E289">
        <v>401.63</v>
      </c>
      <c r="F289" t="s">
        <v>8</v>
      </c>
      <c r="G289">
        <f t="shared" si="44"/>
        <v>2022</v>
      </c>
      <c r="H289" s="3" t="str">
        <f t="shared" si="45"/>
        <v>Apr</v>
      </c>
      <c r="I289" s="8">
        <f t="shared" si="46"/>
        <v>4</v>
      </c>
      <c r="J289" s="4">
        <f t="shared" si="47"/>
        <v>44652</v>
      </c>
      <c r="K289" s="3" t="str">
        <f t="shared" si="48"/>
        <v>2022-Apr</v>
      </c>
      <c r="L289" s="8">
        <f t="shared" si="49"/>
        <v>865.70999999999992</v>
      </c>
      <c r="M289" s="8">
        <f t="shared" si="50"/>
        <v>2189.9328888888886</v>
      </c>
      <c r="N289" s="6">
        <f t="shared" si="51"/>
        <v>0.39531348398499888</v>
      </c>
      <c r="O289" s="8">
        <f t="shared" si="52"/>
        <v>760.68999999999994</v>
      </c>
      <c r="P289" s="6">
        <f t="shared" si="53"/>
        <v>0.13805886760704097</v>
      </c>
      <c r="Q289" s="3" t="str">
        <f t="shared" si="54"/>
        <v>Growing</v>
      </c>
      <c r="R289" s="3">
        <f>IF(COUNTIFS($C$2:C289,C289,$J$2:J289,J289)=1,1,0)</f>
        <v>0</v>
      </c>
    </row>
    <row r="290" spans="1:18">
      <c r="A290" s="1">
        <v>44636</v>
      </c>
      <c r="B290" t="s">
        <v>18</v>
      </c>
      <c r="C290" t="s">
        <v>24</v>
      </c>
      <c r="D290">
        <v>12</v>
      </c>
      <c r="E290">
        <v>123.89</v>
      </c>
      <c r="F290" t="s">
        <v>16</v>
      </c>
      <c r="G290">
        <f t="shared" si="44"/>
        <v>2022</v>
      </c>
      <c r="H290" s="3" t="str">
        <f t="shared" si="45"/>
        <v>Mar</v>
      </c>
      <c r="I290" s="8">
        <f t="shared" si="46"/>
        <v>3</v>
      </c>
      <c r="J290" s="4">
        <f t="shared" si="47"/>
        <v>44621</v>
      </c>
      <c r="K290" s="3" t="str">
        <f t="shared" si="48"/>
        <v>2022-Mar</v>
      </c>
      <c r="L290" s="8">
        <f t="shared" si="49"/>
        <v>760.68999999999994</v>
      </c>
      <c r="M290" s="8">
        <f t="shared" si="50"/>
        <v>1313.9597333333331</v>
      </c>
      <c r="N290" s="6">
        <f t="shared" si="51"/>
        <v>0.57892946085207286</v>
      </c>
      <c r="O290" s="8">
        <f t="shared" si="52"/>
        <v>930.81000000000006</v>
      </c>
      <c r="P290" s="6">
        <f t="shared" si="53"/>
        <v>-0.18276554828590164</v>
      </c>
      <c r="Q290" s="3" t="str">
        <f t="shared" si="54"/>
        <v>Degrowing</v>
      </c>
      <c r="R290" s="3">
        <f>IF(COUNTIFS($C$2:C290,C290,$J$2:J290,J290)=1,1,0)</f>
        <v>0</v>
      </c>
    </row>
    <row r="291" spans="1:18">
      <c r="A291" s="1">
        <v>44759</v>
      </c>
      <c r="B291" t="s">
        <v>12</v>
      </c>
      <c r="C291" t="s">
        <v>20</v>
      </c>
      <c r="D291">
        <v>7</v>
      </c>
      <c r="E291">
        <v>140.54</v>
      </c>
      <c r="F291" t="s">
        <v>14</v>
      </c>
      <c r="G291">
        <f t="shared" si="44"/>
        <v>2022</v>
      </c>
      <c r="H291" s="3" t="str">
        <f t="shared" si="45"/>
        <v>Jul</v>
      </c>
      <c r="I291" s="8">
        <f t="shared" si="46"/>
        <v>7</v>
      </c>
      <c r="J291" s="4">
        <f t="shared" si="47"/>
        <v>44743</v>
      </c>
      <c r="K291" s="3" t="str">
        <f t="shared" si="48"/>
        <v>2022-Jul</v>
      </c>
      <c r="L291" s="8">
        <f t="shared" si="49"/>
        <v>1056.4100000000001</v>
      </c>
      <c r="M291" s="8">
        <f t="shared" si="50"/>
        <v>1945.9349999999999</v>
      </c>
      <c r="N291" s="6">
        <f t="shared" si="51"/>
        <v>0.54288041481344451</v>
      </c>
      <c r="O291" s="8">
        <f t="shared" si="52"/>
        <v>46.75</v>
      </c>
      <c r="P291" s="6">
        <f t="shared" si="53"/>
        <v>21.597005347593583</v>
      </c>
      <c r="Q291" s="3" t="str">
        <f t="shared" si="54"/>
        <v>Growing</v>
      </c>
      <c r="R291" s="3">
        <f>IF(COUNTIFS($C$2:C291,C291,$J$2:J291,J291)=1,1,0)</f>
        <v>0</v>
      </c>
    </row>
    <row r="292" spans="1:18">
      <c r="A292" s="1">
        <v>44766</v>
      </c>
      <c r="B292" t="s">
        <v>9</v>
      </c>
      <c r="C292" t="s">
        <v>19</v>
      </c>
      <c r="D292">
        <v>10</v>
      </c>
      <c r="E292">
        <v>209.65</v>
      </c>
      <c r="F292" t="s">
        <v>16</v>
      </c>
      <c r="G292">
        <f t="shared" si="44"/>
        <v>2022</v>
      </c>
      <c r="H292" s="3" t="str">
        <f t="shared" si="45"/>
        <v>Jul</v>
      </c>
      <c r="I292" s="8">
        <f t="shared" si="46"/>
        <v>7</v>
      </c>
      <c r="J292" s="4">
        <f t="shared" si="47"/>
        <v>44743</v>
      </c>
      <c r="K292" s="3" t="str">
        <f t="shared" si="48"/>
        <v>2022-Jul</v>
      </c>
      <c r="L292" s="8">
        <f t="shared" si="49"/>
        <v>1767.0500000000002</v>
      </c>
      <c r="M292" s="8">
        <f t="shared" si="50"/>
        <v>709.47177777777802</v>
      </c>
      <c r="N292" s="6">
        <f t="shared" si="51"/>
        <v>2.4906558024545955</v>
      </c>
      <c r="O292" s="8">
        <f t="shared" si="52"/>
        <v>1655.98</v>
      </c>
      <c r="P292" s="6">
        <f t="shared" si="53"/>
        <v>6.7072066087754775E-2</v>
      </c>
      <c r="Q292" s="3" t="str">
        <f t="shared" si="54"/>
        <v>Growing</v>
      </c>
      <c r="R292" s="3">
        <f>IF(COUNTIFS($C$2:C292,C292,$J$2:J292,J292)=1,1,0)</f>
        <v>0</v>
      </c>
    </row>
    <row r="293" spans="1:18">
      <c r="A293" s="1">
        <v>44579</v>
      </c>
      <c r="B293" t="s">
        <v>17</v>
      </c>
      <c r="C293" t="s">
        <v>7</v>
      </c>
      <c r="D293">
        <v>2</v>
      </c>
      <c r="E293">
        <v>33.090000000000003</v>
      </c>
      <c r="F293" t="s">
        <v>14</v>
      </c>
      <c r="G293">
        <f t="shared" si="44"/>
        <v>2022</v>
      </c>
      <c r="H293" s="3" t="str">
        <f t="shared" si="45"/>
        <v>Jan</v>
      </c>
      <c r="I293" s="8">
        <f t="shared" si="46"/>
        <v>1</v>
      </c>
      <c r="J293" s="4">
        <f t="shared" si="47"/>
        <v>44562</v>
      </c>
      <c r="K293" s="3" t="str">
        <f t="shared" si="48"/>
        <v>2022-Jan</v>
      </c>
      <c r="L293" s="8">
        <f t="shared" si="49"/>
        <v>656.7700000000001</v>
      </c>
      <c r="M293" s="8">
        <f t="shared" si="50"/>
        <v>1005.6885416666664</v>
      </c>
      <c r="N293" s="6">
        <f t="shared" si="51"/>
        <v>0.65305506902919974</v>
      </c>
      <c r="O293" s="8">
        <f t="shared" si="52"/>
        <v>0</v>
      </c>
      <c r="P293" s="6">
        <f t="shared" si="53"/>
        <v>0</v>
      </c>
      <c r="Q293" s="3" t="str">
        <f t="shared" si="54"/>
        <v>No Growth</v>
      </c>
      <c r="R293" s="3">
        <f>IF(COUNTIFS($C$2:C293,C293,$J$2:J293,J293)=1,1,0)</f>
        <v>0</v>
      </c>
    </row>
    <row r="294" spans="1:18">
      <c r="A294" s="1">
        <v>44766</v>
      </c>
      <c r="B294" t="s">
        <v>21</v>
      </c>
      <c r="C294" t="s">
        <v>13</v>
      </c>
      <c r="D294">
        <v>8</v>
      </c>
      <c r="E294">
        <v>157.03</v>
      </c>
      <c r="F294" t="s">
        <v>22</v>
      </c>
      <c r="G294">
        <f t="shared" si="44"/>
        <v>2022</v>
      </c>
      <c r="H294" s="3" t="str">
        <f t="shared" si="45"/>
        <v>Jul</v>
      </c>
      <c r="I294" s="8">
        <f t="shared" si="46"/>
        <v>7</v>
      </c>
      <c r="J294" s="4">
        <f t="shared" si="47"/>
        <v>44743</v>
      </c>
      <c r="K294" s="3" t="str">
        <f t="shared" si="48"/>
        <v>2022-Jul</v>
      </c>
      <c r="L294" s="8">
        <f t="shared" si="49"/>
        <v>1653.05</v>
      </c>
      <c r="M294" s="8">
        <f t="shared" si="50"/>
        <v>842.75439393939394</v>
      </c>
      <c r="N294" s="6">
        <f t="shared" si="51"/>
        <v>1.9614848784981569</v>
      </c>
      <c r="O294" s="8">
        <f t="shared" si="52"/>
        <v>585.20999999999992</v>
      </c>
      <c r="P294" s="6">
        <f t="shared" si="53"/>
        <v>1.8247124963688253</v>
      </c>
      <c r="Q294" s="3" t="str">
        <f t="shared" si="54"/>
        <v>Growing</v>
      </c>
      <c r="R294" s="3">
        <f>IF(COUNTIFS($C$2:C294,C294,$J$2:J294,J294)=1,1,0)</f>
        <v>0</v>
      </c>
    </row>
    <row r="295" spans="1:18">
      <c r="A295" s="1">
        <v>44768</v>
      </c>
      <c r="B295" t="s">
        <v>9</v>
      </c>
      <c r="C295" t="s">
        <v>19</v>
      </c>
      <c r="D295">
        <v>1</v>
      </c>
      <c r="E295">
        <v>17.670000000000002</v>
      </c>
      <c r="F295" t="s">
        <v>22</v>
      </c>
      <c r="G295">
        <f t="shared" si="44"/>
        <v>2022</v>
      </c>
      <c r="H295" s="3" t="str">
        <f t="shared" si="45"/>
        <v>Jul</v>
      </c>
      <c r="I295" s="8">
        <f t="shared" si="46"/>
        <v>7</v>
      </c>
      <c r="J295" s="4">
        <f t="shared" si="47"/>
        <v>44743</v>
      </c>
      <c r="K295" s="3" t="str">
        <f t="shared" si="48"/>
        <v>2022-Jul</v>
      </c>
      <c r="L295" s="8">
        <f t="shared" si="49"/>
        <v>1767.0500000000002</v>
      </c>
      <c r="M295" s="8">
        <f t="shared" si="50"/>
        <v>709.47177777777802</v>
      </c>
      <c r="N295" s="6">
        <f t="shared" si="51"/>
        <v>2.4906558024545955</v>
      </c>
      <c r="O295" s="8">
        <f t="shared" si="52"/>
        <v>1655.98</v>
      </c>
      <c r="P295" s="6">
        <f t="shared" si="53"/>
        <v>6.7072066087754775E-2</v>
      </c>
      <c r="Q295" s="3" t="str">
        <f t="shared" si="54"/>
        <v>Growing</v>
      </c>
      <c r="R295" s="3">
        <f>IF(COUNTIFS($C$2:C295,C295,$J$2:J295,J295)=1,1,0)</f>
        <v>0</v>
      </c>
    </row>
    <row r="296" spans="1:18">
      <c r="A296" s="1">
        <v>44715</v>
      </c>
      <c r="B296" t="s">
        <v>12</v>
      </c>
      <c r="C296" t="s">
        <v>19</v>
      </c>
      <c r="D296">
        <v>19</v>
      </c>
      <c r="E296">
        <v>341.45</v>
      </c>
      <c r="F296" t="s">
        <v>14</v>
      </c>
      <c r="G296">
        <f t="shared" si="44"/>
        <v>2022</v>
      </c>
      <c r="H296" s="3" t="str">
        <f t="shared" si="45"/>
        <v>Jun</v>
      </c>
      <c r="I296" s="8">
        <f t="shared" si="46"/>
        <v>6</v>
      </c>
      <c r="J296" s="4">
        <f t="shared" si="47"/>
        <v>44713</v>
      </c>
      <c r="K296" s="3" t="str">
        <f t="shared" si="48"/>
        <v>2022-Jun</v>
      </c>
      <c r="L296" s="8">
        <f t="shared" si="49"/>
        <v>1655.98</v>
      </c>
      <c r="M296" s="8">
        <f t="shared" si="50"/>
        <v>591.22648148148176</v>
      </c>
      <c r="N296" s="6">
        <f t="shared" si="51"/>
        <v>2.8009232533875736</v>
      </c>
      <c r="O296" s="8">
        <f t="shared" si="52"/>
        <v>1584.09</v>
      </c>
      <c r="P296" s="6">
        <f t="shared" si="53"/>
        <v>4.5382522457688708E-2</v>
      </c>
      <c r="Q296" s="3" t="str">
        <f t="shared" si="54"/>
        <v>Growing</v>
      </c>
      <c r="R296" s="3">
        <f>IF(COUNTIFS($C$2:C296,C296,$J$2:J296,J296)=1,1,0)</f>
        <v>0</v>
      </c>
    </row>
    <row r="297" spans="1:18">
      <c r="A297" s="1">
        <v>44717</v>
      </c>
      <c r="B297" t="s">
        <v>15</v>
      </c>
      <c r="C297" t="s">
        <v>19</v>
      </c>
      <c r="D297">
        <v>14</v>
      </c>
      <c r="E297">
        <v>194.98</v>
      </c>
      <c r="F297" t="s">
        <v>22</v>
      </c>
      <c r="G297">
        <f t="shared" si="44"/>
        <v>2022</v>
      </c>
      <c r="H297" s="3" t="str">
        <f t="shared" si="45"/>
        <v>Jun</v>
      </c>
      <c r="I297" s="8">
        <f t="shared" si="46"/>
        <v>6</v>
      </c>
      <c r="J297" s="4">
        <f t="shared" si="47"/>
        <v>44713</v>
      </c>
      <c r="K297" s="3" t="str">
        <f t="shared" si="48"/>
        <v>2022-Jun</v>
      </c>
      <c r="L297" s="8">
        <f t="shared" si="49"/>
        <v>1655.98</v>
      </c>
      <c r="M297" s="8">
        <f t="shared" si="50"/>
        <v>591.22648148148176</v>
      </c>
      <c r="N297" s="6">
        <f t="shared" si="51"/>
        <v>2.8009232533875736</v>
      </c>
      <c r="O297" s="8">
        <f t="shared" si="52"/>
        <v>1584.09</v>
      </c>
      <c r="P297" s="6">
        <f t="shared" si="53"/>
        <v>4.5382522457688708E-2</v>
      </c>
      <c r="Q297" s="3" t="str">
        <f t="shared" si="54"/>
        <v>Growing</v>
      </c>
      <c r="R297" s="3">
        <f>IF(COUNTIFS($C$2:C297,C297,$J$2:J297,J297)=1,1,0)</f>
        <v>0</v>
      </c>
    </row>
    <row r="298" spans="1:18">
      <c r="A298" s="1">
        <v>44785</v>
      </c>
      <c r="B298" t="s">
        <v>6</v>
      </c>
      <c r="C298" t="s">
        <v>13</v>
      </c>
      <c r="D298">
        <v>8</v>
      </c>
      <c r="E298">
        <v>78.790000000000006</v>
      </c>
      <c r="F298" t="s">
        <v>8</v>
      </c>
      <c r="G298">
        <f t="shared" si="44"/>
        <v>2022</v>
      </c>
      <c r="H298" s="3" t="str">
        <f t="shared" si="45"/>
        <v>Aug</v>
      </c>
      <c r="I298" s="8">
        <f t="shared" si="46"/>
        <v>8</v>
      </c>
      <c r="J298" s="4">
        <f t="shared" si="47"/>
        <v>44774</v>
      </c>
      <c r="K298" s="3" t="str">
        <f t="shared" si="48"/>
        <v>2022-Aug</v>
      </c>
      <c r="L298" s="8">
        <f t="shared" si="49"/>
        <v>652.12</v>
      </c>
      <c r="M298" s="8">
        <f t="shared" si="50"/>
        <v>1896.1973863636363</v>
      </c>
      <c r="N298" s="6">
        <f t="shared" si="51"/>
        <v>0.34390934440141774</v>
      </c>
      <c r="O298" s="8">
        <f t="shared" si="52"/>
        <v>1653.05</v>
      </c>
      <c r="P298" s="6">
        <f t="shared" si="53"/>
        <v>-0.6055049756510692</v>
      </c>
      <c r="Q298" s="3" t="str">
        <f t="shared" si="54"/>
        <v>Degrowing</v>
      </c>
      <c r="R298" s="3">
        <f>IF(COUNTIFS($C$2:C298,C298,$J$2:J298,J298)=1,1,0)</f>
        <v>0</v>
      </c>
    </row>
    <row r="299" spans="1:18">
      <c r="A299" s="1">
        <v>44728</v>
      </c>
      <c r="B299" t="s">
        <v>15</v>
      </c>
      <c r="C299" t="s">
        <v>7</v>
      </c>
      <c r="D299">
        <v>14</v>
      </c>
      <c r="E299">
        <v>131.03</v>
      </c>
      <c r="F299" t="s">
        <v>22</v>
      </c>
      <c r="G299">
        <f t="shared" si="44"/>
        <v>2022</v>
      </c>
      <c r="H299" s="3" t="str">
        <f t="shared" si="45"/>
        <v>Jun</v>
      </c>
      <c r="I299" s="8">
        <f t="shared" si="46"/>
        <v>6</v>
      </c>
      <c r="J299" s="4">
        <f t="shared" si="47"/>
        <v>44713</v>
      </c>
      <c r="K299" s="3" t="str">
        <f t="shared" si="48"/>
        <v>2022-Jun</v>
      </c>
      <c r="L299" s="8">
        <f t="shared" si="49"/>
        <v>1013.7</v>
      </c>
      <c r="M299" s="8">
        <f t="shared" si="50"/>
        <v>862.01874999999984</v>
      </c>
      <c r="N299" s="6">
        <f t="shared" si="51"/>
        <v>1.1759604996991078</v>
      </c>
      <c r="O299" s="8">
        <f t="shared" si="52"/>
        <v>459.62</v>
      </c>
      <c r="P299" s="6">
        <f t="shared" si="53"/>
        <v>1.2055176014968889</v>
      </c>
      <c r="Q299" s="3" t="str">
        <f t="shared" si="54"/>
        <v>Growing</v>
      </c>
      <c r="R299" s="3">
        <f>IF(COUNTIFS($C$2:C299,C299,$J$2:J299,J299)=1,1,0)</f>
        <v>0</v>
      </c>
    </row>
    <row r="300" spans="1:18">
      <c r="A300" s="1">
        <v>44588</v>
      </c>
      <c r="B300" t="s">
        <v>18</v>
      </c>
      <c r="C300" t="s">
        <v>24</v>
      </c>
      <c r="D300">
        <v>2</v>
      </c>
      <c r="E300">
        <v>33.67</v>
      </c>
      <c r="F300" t="s">
        <v>11</v>
      </c>
      <c r="G300">
        <f t="shared" si="44"/>
        <v>2022</v>
      </c>
      <c r="H300" s="3" t="str">
        <f t="shared" si="45"/>
        <v>Jan</v>
      </c>
      <c r="I300" s="8">
        <f t="shared" si="46"/>
        <v>1</v>
      </c>
      <c r="J300" s="4">
        <f t="shared" si="47"/>
        <v>44562</v>
      </c>
      <c r="K300" s="3" t="str">
        <f t="shared" si="48"/>
        <v>2022-Jan</v>
      </c>
      <c r="L300" s="8">
        <f t="shared" si="49"/>
        <v>1214.3899999999999</v>
      </c>
      <c r="M300" s="8">
        <f t="shared" si="50"/>
        <v>821.22483333333321</v>
      </c>
      <c r="N300" s="6">
        <f t="shared" si="51"/>
        <v>1.4787546000902312</v>
      </c>
      <c r="O300" s="8">
        <f t="shared" si="52"/>
        <v>0</v>
      </c>
      <c r="P300" s="6">
        <f t="shared" si="53"/>
        <v>0</v>
      </c>
      <c r="Q300" s="3" t="str">
        <f t="shared" si="54"/>
        <v>No Growth</v>
      </c>
      <c r="R300" s="3">
        <f>IF(COUNTIFS($C$2:C300,C300,$J$2:J300,J300)=1,1,0)</f>
        <v>0</v>
      </c>
    </row>
    <row r="301" spans="1:18">
      <c r="A301" s="1">
        <v>44716</v>
      </c>
      <c r="B301" t="s">
        <v>12</v>
      </c>
      <c r="C301" t="s">
        <v>19</v>
      </c>
      <c r="D301">
        <v>5</v>
      </c>
      <c r="E301">
        <v>41.09</v>
      </c>
      <c r="F301" t="s">
        <v>8</v>
      </c>
      <c r="G301">
        <f t="shared" si="44"/>
        <v>2022</v>
      </c>
      <c r="H301" s="3" t="str">
        <f t="shared" si="45"/>
        <v>Jun</v>
      </c>
      <c r="I301" s="8">
        <f t="shared" si="46"/>
        <v>6</v>
      </c>
      <c r="J301" s="4">
        <f t="shared" si="47"/>
        <v>44713</v>
      </c>
      <c r="K301" s="3" t="str">
        <f t="shared" si="48"/>
        <v>2022-Jun</v>
      </c>
      <c r="L301" s="8">
        <f t="shared" si="49"/>
        <v>1655.98</v>
      </c>
      <c r="M301" s="8">
        <f t="shared" si="50"/>
        <v>591.22648148148176</v>
      </c>
      <c r="N301" s="6">
        <f t="shared" si="51"/>
        <v>2.8009232533875736</v>
      </c>
      <c r="O301" s="8">
        <f t="shared" si="52"/>
        <v>1584.09</v>
      </c>
      <c r="P301" s="6">
        <f t="shared" si="53"/>
        <v>4.5382522457688708E-2</v>
      </c>
      <c r="Q301" s="3" t="str">
        <f t="shared" si="54"/>
        <v>Growing</v>
      </c>
      <c r="R301" s="3">
        <f>IF(COUNTIFS($C$2:C301,C301,$J$2:J301,J301)=1,1,0)</f>
        <v>0</v>
      </c>
    </row>
    <row r="302" spans="1:18">
      <c r="A302" s="1">
        <v>44735</v>
      </c>
      <c r="B302" t="s">
        <v>6</v>
      </c>
      <c r="C302" t="s">
        <v>13</v>
      </c>
      <c r="D302">
        <v>1</v>
      </c>
      <c r="E302">
        <v>17.39</v>
      </c>
      <c r="F302" t="s">
        <v>11</v>
      </c>
      <c r="G302">
        <f t="shared" si="44"/>
        <v>2022</v>
      </c>
      <c r="H302" s="3" t="str">
        <f t="shared" si="45"/>
        <v>Jun</v>
      </c>
      <c r="I302" s="8">
        <f t="shared" si="46"/>
        <v>6</v>
      </c>
      <c r="J302" s="4">
        <f t="shared" si="47"/>
        <v>44713</v>
      </c>
      <c r="K302" s="3" t="str">
        <f t="shared" si="48"/>
        <v>2022-Jun</v>
      </c>
      <c r="L302" s="8">
        <f t="shared" si="49"/>
        <v>585.20999999999992</v>
      </c>
      <c r="M302" s="8">
        <f t="shared" si="50"/>
        <v>1896.1973863636363</v>
      </c>
      <c r="N302" s="6">
        <f t="shared" si="51"/>
        <v>0.30862293356614373</v>
      </c>
      <c r="O302" s="8">
        <f t="shared" si="52"/>
        <v>1938.8200000000002</v>
      </c>
      <c r="P302" s="6">
        <f t="shared" si="53"/>
        <v>-0.69816176849836498</v>
      </c>
      <c r="Q302" s="3" t="str">
        <f t="shared" si="54"/>
        <v>Degrowing</v>
      </c>
      <c r="R302" s="3">
        <f>IF(COUNTIFS($C$2:C302,C302,$J$2:J302,J302)=1,1,0)</f>
        <v>0</v>
      </c>
    </row>
    <row r="303" spans="1:18">
      <c r="A303" s="1">
        <v>44756</v>
      </c>
      <c r="B303" t="s">
        <v>9</v>
      </c>
      <c r="C303" t="s">
        <v>23</v>
      </c>
      <c r="D303">
        <v>18</v>
      </c>
      <c r="E303">
        <v>364.2</v>
      </c>
      <c r="F303" t="s">
        <v>22</v>
      </c>
      <c r="G303">
        <f t="shared" si="44"/>
        <v>2022</v>
      </c>
      <c r="H303" s="3" t="str">
        <f t="shared" si="45"/>
        <v>Jul</v>
      </c>
      <c r="I303" s="8">
        <f t="shared" si="46"/>
        <v>7</v>
      </c>
      <c r="J303" s="4">
        <f t="shared" si="47"/>
        <v>44743</v>
      </c>
      <c r="K303" s="3" t="str">
        <f t="shared" si="48"/>
        <v>2022-Jul</v>
      </c>
      <c r="L303" s="8">
        <f t="shared" si="49"/>
        <v>1698.9899999999998</v>
      </c>
      <c r="M303" s="8">
        <f t="shared" si="50"/>
        <v>1202.5669090909096</v>
      </c>
      <c r="N303" s="6">
        <f t="shared" si="51"/>
        <v>1.4128028861898132</v>
      </c>
      <c r="O303" s="8">
        <f t="shared" si="52"/>
        <v>2252.73</v>
      </c>
      <c r="P303" s="6">
        <f t="shared" si="53"/>
        <v>-0.24580841911813675</v>
      </c>
      <c r="Q303" s="3" t="str">
        <f t="shared" si="54"/>
        <v>Degrowing</v>
      </c>
      <c r="R303" s="3">
        <f>IF(COUNTIFS($C$2:C303,C303,$J$2:J303,J303)=1,1,0)</f>
        <v>0</v>
      </c>
    </row>
    <row r="304" spans="1:18">
      <c r="A304" s="1">
        <v>44583</v>
      </c>
      <c r="B304" t="s">
        <v>15</v>
      </c>
      <c r="C304" t="s">
        <v>7</v>
      </c>
      <c r="D304">
        <v>6</v>
      </c>
      <c r="E304">
        <v>68.209999999999994</v>
      </c>
      <c r="F304" t="s">
        <v>14</v>
      </c>
      <c r="G304">
        <f t="shared" si="44"/>
        <v>2022</v>
      </c>
      <c r="H304" s="3" t="str">
        <f t="shared" si="45"/>
        <v>Jan</v>
      </c>
      <c r="I304" s="8">
        <f t="shared" si="46"/>
        <v>1</v>
      </c>
      <c r="J304" s="4">
        <f t="shared" si="47"/>
        <v>44562</v>
      </c>
      <c r="K304" s="3" t="str">
        <f t="shared" si="48"/>
        <v>2022-Jan</v>
      </c>
      <c r="L304" s="8">
        <f t="shared" si="49"/>
        <v>656.7700000000001</v>
      </c>
      <c r="M304" s="8">
        <f t="shared" si="50"/>
        <v>1005.6885416666664</v>
      </c>
      <c r="N304" s="6">
        <f t="shared" si="51"/>
        <v>0.65305506902919974</v>
      </c>
      <c r="O304" s="8">
        <f t="shared" si="52"/>
        <v>0</v>
      </c>
      <c r="P304" s="6">
        <f t="shared" si="53"/>
        <v>0</v>
      </c>
      <c r="Q304" s="3" t="str">
        <f t="shared" si="54"/>
        <v>No Growth</v>
      </c>
      <c r="R304" s="3">
        <f>IF(COUNTIFS($C$2:C304,C304,$J$2:J304,J304)=1,1,0)</f>
        <v>0</v>
      </c>
    </row>
    <row r="305" spans="1:18">
      <c r="A305" s="1">
        <v>44764</v>
      </c>
      <c r="B305" t="s">
        <v>15</v>
      </c>
      <c r="C305" t="s">
        <v>20</v>
      </c>
      <c r="D305">
        <v>20</v>
      </c>
      <c r="E305">
        <v>479.93</v>
      </c>
      <c r="F305" t="s">
        <v>11</v>
      </c>
      <c r="G305">
        <f t="shared" si="44"/>
        <v>2022</v>
      </c>
      <c r="H305" s="3" t="str">
        <f t="shared" si="45"/>
        <v>Jul</v>
      </c>
      <c r="I305" s="8">
        <f t="shared" si="46"/>
        <v>7</v>
      </c>
      <c r="J305" s="4">
        <f t="shared" si="47"/>
        <v>44743</v>
      </c>
      <c r="K305" s="3" t="str">
        <f t="shared" si="48"/>
        <v>2022-Jul</v>
      </c>
      <c r="L305" s="8">
        <f t="shared" si="49"/>
        <v>1056.4100000000001</v>
      </c>
      <c r="M305" s="8">
        <f t="shared" si="50"/>
        <v>1945.9349999999999</v>
      </c>
      <c r="N305" s="6">
        <f t="shared" si="51"/>
        <v>0.54288041481344451</v>
      </c>
      <c r="O305" s="8">
        <f t="shared" si="52"/>
        <v>46.75</v>
      </c>
      <c r="P305" s="6">
        <f t="shared" si="53"/>
        <v>21.597005347593583</v>
      </c>
      <c r="Q305" s="3" t="str">
        <f t="shared" si="54"/>
        <v>Growing</v>
      </c>
      <c r="R305" s="3">
        <f>IF(COUNTIFS($C$2:C305,C305,$J$2:J305,J305)=1,1,0)</f>
        <v>0</v>
      </c>
    </row>
    <row r="306" spans="1:18">
      <c r="A306" s="1">
        <v>44697</v>
      </c>
      <c r="B306" t="s">
        <v>21</v>
      </c>
      <c r="C306" t="s">
        <v>19</v>
      </c>
      <c r="D306">
        <v>6</v>
      </c>
      <c r="E306">
        <v>136.59</v>
      </c>
      <c r="F306" t="s">
        <v>14</v>
      </c>
      <c r="G306">
        <f t="shared" si="44"/>
        <v>2022</v>
      </c>
      <c r="H306" s="3" t="str">
        <f t="shared" si="45"/>
        <v>May</v>
      </c>
      <c r="I306" s="8">
        <f t="shared" si="46"/>
        <v>5</v>
      </c>
      <c r="J306" s="4">
        <f t="shared" si="47"/>
        <v>44682</v>
      </c>
      <c r="K306" s="3" t="str">
        <f t="shared" si="48"/>
        <v>2022-May</v>
      </c>
      <c r="L306" s="8">
        <f t="shared" si="49"/>
        <v>1584.09</v>
      </c>
      <c r="M306" s="8">
        <f t="shared" si="50"/>
        <v>709.47177777777802</v>
      </c>
      <c r="N306" s="6">
        <f t="shared" si="51"/>
        <v>2.2327738038597094</v>
      </c>
      <c r="O306" s="8">
        <f t="shared" si="52"/>
        <v>377.24</v>
      </c>
      <c r="P306" s="6">
        <f t="shared" si="53"/>
        <v>3.1991570353090868</v>
      </c>
      <c r="Q306" s="3" t="str">
        <f t="shared" si="54"/>
        <v>Growing</v>
      </c>
      <c r="R306" s="3">
        <f>IF(COUNTIFS($C$2:C306,C306,$J$2:J306,J306)=1,1,0)</f>
        <v>0</v>
      </c>
    </row>
    <row r="307" spans="1:18">
      <c r="A307" s="1">
        <v>44799</v>
      </c>
      <c r="B307" t="s">
        <v>17</v>
      </c>
      <c r="C307" t="s">
        <v>23</v>
      </c>
      <c r="D307">
        <v>2</v>
      </c>
      <c r="E307">
        <v>45.31</v>
      </c>
      <c r="F307" t="s">
        <v>16</v>
      </c>
      <c r="G307">
        <f t="shared" si="44"/>
        <v>2022</v>
      </c>
      <c r="H307" s="3" t="str">
        <f t="shared" si="45"/>
        <v>Aug</v>
      </c>
      <c r="I307" s="8">
        <f t="shared" si="46"/>
        <v>8</v>
      </c>
      <c r="J307" s="4">
        <f t="shared" si="47"/>
        <v>44774</v>
      </c>
      <c r="K307" s="3" t="str">
        <f t="shared" si="48"/>
        <v>2022-Aug</v>
      </c>
      <c r="L307" s="8">
        <f t="shared" si="49"/>
        <v>1328.57</v>
      </c>
      <c r="M307" s="8">
        <f t="shared" si="50"/>
        <v>1052.2460454545458</v>
      </c>
      <c r="N307" s="6">
        <f t="shared" si="51"/>
        <v>1.2626039373006992</v>
      </c>
      <c r="O307" s="8">
        <f t="shared" si="52"/>
        <v>1698.9899999999998</v>
      </c>
      <c r="P307" s="6">
        <f t="shared" si="53"/>
        <v>-0.21802364934461055</v>
      </c>
      <c r="Q307" s="3" t="str">
        <f t="shared" si="54"/>
        <v>Degrowing</v>
      </c>
      <c r="R307" s="3">
        <f>IF(COUNTIFS($C$2:C307,C307,$J$2:J307,J307)=1,1,0)</f>
        <v>0</v>
      </c>
    </row>
    <row r="308" spans="1:18">
      <c r="A308" s="1">
        <v>44629</v>
      </c>
      <c r="B308" t="s">
        <v>9</v>
      </c>
      <c r="C308" t="s">
        <v>23</v>
      </c>
      <c r="D308">
        <v>11</v>
      </c>
      <c r="E308">
        <v>246.17</v>
      </c>
      <c r="F308" t="s">
        <v>11</v>
      </c>
      <c r="G308">
        <f t="shared" si="44"/>
        <v>2022</v>
      </c>
      <c r="H308" s="3" t="str">
        <f t="shared" si="45"/>
        <v>Mar</v>
      </c>
      <c r="I308" s="8">
        <f t="shared" si="46"/>
        <v>3</v>
      </c>
      <c r="J308" s="4">
        <f t="shared" si="47"/>
        <v>44621</v>
      </c>
      <c r="K308" s="3" t="str">
        <f t="shared" si="48"/>
        <v>2022-Mar</v>
      </c>
      <c r="L308" s="8">
        <f t="shared" si="49"/>
        <v>1922.5800000000002</v>
      </c>
      <c r="M308" s="8">
        <f t="shared" si="50"/>
        <v>841.79683636363654</v>
      </c>
      <c r="N308" s="6">
        <f t="shared" si="51"/>
        <v>2.2839002440364253</v>
      </c>
      <c r="O308" s="8">
        <f t="shared" si="52"/>
        <v>1770.3600000000001</v>
      </c>
      <c r="P308" s="6">
        <f t="shared" si="53"/>
        <v>8.5982512031451241E-2</v>
      </c>
      <c r="Q308" s="3" t="str">
        <f t="shared" si="54"/>
        <v>Growing</v>
      </c>
      <c r="R308" s="3">
        <f>IF(COUNTIFS($C$2:C308,C308,$J$2:J308,J308)=1,1,0)</f>
        <v>0</v>
      </c>
    </row>
    <row r="309" spans="1:18">
      <c r="A309" s="1">
        <v>44574</v>
      </c>
      <c r="B309" t="s">
        <v>15</v>
      </c>
      <c r="C309" t="s">
        <v>13</v>
      </c>
      <c r="D309">
        <v>15</v>
      </c>
      <c r="E309">
        <v>362.44</v>
      </c>
      <c r="F309" t="s">
        <v>11</v>
      </c>
      <c r="G309">
        <f t="shared" si="44"/>
        <v>2022</v>
      </c>
      <c r="H309" s="3" t="str">
        <f t="shared" si="45"/>
        <v>Jan</v>
      </c>
      <c r="I309" s="8">
        <f t="shared" si="46"/>
        <v>1</v>
      </c>
      <c r="J309" s="4">
        <f t="shared" si="47"/>
        <v>44562</v>
      </c>
      <c r="K309" s="3" t="str">
        <f t="shared" si="48"/>
        <v>2022-Jan</v>
      </c>
      <c r="L309" s="8">
        <f t="shared" si="49"/>
        <v>882.82999999999993</v>
      </c>
      <c r="M309" s="8">
        <f t="shared" si="50"/>
        <v>1896.1973863636363</v>
      </c>
      <c r="N309" s="6">
        <f t="shared" si="51"/>
        <v>0.46557916720527454</v>
      </c>
      <c r="O309" s="8">
        <f t="shared" si="52"/>
        <v>0</v>
      </c>
      <c r="P309" s="6">
        <f t="shared" si="53"/>
        <v>0</v>
      </c>
      <c r="Q309" s="3" t="str">
        <f t="shared" si="54"/>
        <v>No Growth</v>
      </c>
      <c r="R309" s="3">
        <f>IF(COUNTIFS($C$2:C309,C309,$J$2:J309,J309)=1,1,0)</f>
        <v>0</v>
      </c>
    </row>
    <row r="310" spans="1:18">
      <c r="A310" s="1">
        <v>44620</v>
      </c>
      <c r="B310" t="s">
        <v>15</v>
      </c>
      <c r="C310" t="s">
        <v>7</v>
      </c>
      <c r="D310">
        <v>7</v>
      </c>
      <c r="E310">
        <v>133.38</v>
      </c>
      <c r="F310" t="s">
        <v>14</v>
      </c>
      <c r="G310">
        <f t="shared" si="44"/>
        <v>2022</v>
      </c>
      <c r="H310" s="3" t="str">
        <f t="shared" si="45"/>
        <v>Feb</v>
      </c>
      <c r="I310" s="8">
        <f t="shared" si="46"/>
        <v>2</v>
      </c>
      <c r="J310" s="4">
        <f t="shared" si="47"/>
        <v>44593</v>
      </c>
      <c r="K310" s="3" t="str">
        <f t="shared" si="48"/>
        <v>2022-Feb</v>
      </c>
      <c r="L310" s="8">
        <f t="shared" si="49"/>
        <v>837.85</v>
      </c>
      <c r="M310" s="8">
        <f t="shared" si="50"/>
        <v>862.01874999999984</v>
      </c>
      <c r="N310" s="6">
        <f t="shared" si="51"/>
        <v>0.97196261682243013</v>
      </c>
      <c r="O310" s="8">
        <f t="shared" si="52"/>
        <v>656.7700000000001</v>
      </c>
      <c r="P310" s="6">
        <f t="shared" si="53"/>
        <v>0.27571295887449165</v>
      </c>
      <c r="Q310" s="3" t="str">
        <f t="shared" si="54"/>
        <v>Growing</v>
      </c>
      <c r="R310" s="3">
        <f>IF(COUNTIFS($C$2:C310,C310,$J$2:J310,J310)=1,1,0)</f>
        <v>0</v>
      </c>
    </row>
    <row r="311" spans="1:18">
      <c r="A311" s="1">
        <v>44678</v>
      </c>
      <c r="B311" t="s">
        <v>17</v>
      </c>
      <c r="C311" t="s">
        <v>24</v>
      </c>
      <c r="D311">
        <v>1</v>
      </c>
      <c r="E311">
        <v>16.87</v>
      </c>
      <c r="F311" t="s">
        <v>11</v>
      </c>
      <c r="G311">
        <f t="shared" si="44"/>
        <v>2022</v>
      </c>
      <c r="H311" s="3" t="str">
        <f t="shared" si="45"/>
        <v>Apr</v>
      </c>
      <c r="I311" s="8">
        <f t="shared" si="46"/>
        <v>4</v>
      </c>
      <c r="J311" s="4">
        <f t="shared" si="47"/>
        <v>44652</v>
      </c>
      <c r="K311" s="3" t="str">
        <f t="shared" si="48"/>
        <v>2022-Apr</v>
      </c>
      <c r="L311" s="8">
        <f t="shared" si="49"/>
        <v>865.70999999999992</v>
      </c>
      <c r="M311" s="8">
        <f t="shared" si="50"/>
        <v>2189.9328888888886</v>
      </c>
      <c r="N311" s="6">
        <f t="shared" si="51"/>
        <v>0.39531348398499888</v>
      </c>
      <c r="O311" s="8">
        <f t="shared" si="52"/>
        <v>760.68999999999994</v>
      </c>
      <c r="P311" s="6">
        <f t="shared" si="53"/>
        <v>0.13805886760704097</v>
      </c>
      <c r="Q311" s="3" t="str">
        <f t="shared" si="54"/>
        <v>Growing</v>
      </c>
      <c r="R311" s="3">
        <f>IF(COUNTIFS($C$2:C311,C311,$J$2:J311,J311)=1,1,0)</f>
        <v>0</v>
      </c>
    </row>
    <row r="312" spans="1:18">
      <c r="A312" s="1">
        <v>44595</v>
      </c>
      <c r="B312" t="s">
        <v>18</v>
      </c>
      <c r="C312" t="s">
        <v>7</v>
      </c>
      <c r="D312">
        <v>15</v>
      </c>
      <c r="E312">
        <v>191.54</v>
      </c>
      <c r="F312" t="s">
        <v>11</v>
      </c>
      <c r="G312">
        <f t="shared" si="44"/>
        <v>2022</v>
      </c>
      <c r="H312" s="3" t="str">
        <f t="shared" si="45"/>
        <v>Feb</v>
      </c>
      <c r="I312" s="8">
        <f t="shared" si="46"/>
        <v>2</v>
      </c>
      <c r="J312" s="4">
        <f t="shared" si="47"/>
        <v>44593</v>
      </c>
      <c r="K312" s="3" t="str">
        <f t="shared" si="48"/>
        <v>2022-Feb</v>
      </c>
      <c r="L312" s="8">
        <f t="shared" si="49"/>
        <v>837.85</v>
      </c>
      <c r="M312" s="8">
        <f t="shared" si="50"/>
        <v>862.01874999999984</v>
      </c>
      <c r="N312" s="6">
        <f t="shared" si="51"/>
        <v>0.97196261682243013</v>
      </c>
      <c r="O312" s="8">
        <f t="shared" si="52"/>
        <v>656.7700000000001</v>
      </c>
      <c r="P312" s="6">
        <f t="shared" si="53"/>
        <v>0.27571295887449165</v>
      </c>
      <c r="Q312" s="3" t="str">
        <f t="shared" si="54"/>
        <v>Growing</v>
      </c>
      <c r="R312" s="3">
        <f>IF(COUNTIFS($C$2:C312,C312,$J$2:J312,J312)=1,1,0)</f>
        <v>0</v>
      </c>
    </row>
    <row r="313" spans="1:18">
      <c r="A313" s="1">
        <v>44613</v>
      </c>
      <c r="B313" t="s">
        <v>9</v>
      </c>
      <c r="C313" t="s">
        <v>10</v>
      </c>
      <c r="D313">
        <v>2</v>
      </c>
      <c r="E313">
        <v>26.91</v>
      </c>
      <c r="F313" t="s">
        <v>22</v>
      </c>
      <c r="G313">
        <f t="shared" si="44"/>
        <v>2022</v>
      </c>
      <c r="H313" s="3" t="str">
        <f t="shared" si="45"/>
        <v>Feb</v>
      </c>
      <c r="I313" s="8">
        <f t="shared" si="46"/>
        <v>2</v>
      </c>
      <c r="J313" s="4">
        <f t="shared" si="47"/>
        <v>44593</v>
      </c>
      <c r="K313" s="3" t="str">
        <f t="shared" si="48"/>
        <v>2022-Feb</v>
      </c>
      <c r="L313" s="8">
        <f t="shared" si="49"/>
        <v>1170.8000000000002</v>
      </c>
      <c r="M313" s="8">
        <f t="shared" si="50"/>
        <v>1682.6395384615382</v>
      </c>
      <c r="N313" s="6">
        <f t="shared" si="51"/>
        <v>0.69581153493545012</v>
      </c>
      <c r="O313" s="8">
        <f t="shared" si="52"/>
        <v>491.53</v>
      </c>
      <c r="P313" s="6">
        <f t="shared" si="53"/>
        <v>1.3819502370150352</v>
      </c>
      <c r="Q313" s="3" t="str">
        <f t="shared" si="54"/>
        <v>Growing</v>
      </c>
      <c r="R313" s="3">
        <f>IF(COUNTIFS($C$2:C313,C313,$J$2:J313,J313)=1,1,0)</f>
        <v>0</v>
      </c>
    </row>
    <row r="314" spans="1:18">
      <c r="A314" s="1">
        <v>44777</v>
      </c>
      <c r="B314" t="s">
        <v>15</v>
      </c>
      <c r="C314" t="s">
        <v>19</v>
      </c>
      <c r="D314">
        <v>3</v>
      </c>
      <c r="E314">
        <v>59.95</v>
      </c>
      <c r="F314" t="s">
        <v>14</v>
      </c>
      <c r="G314">
        <f t="shared" si="44"/>
        <v>2022</v>
      </c>
      <c r="H314" s="3" t="str">
        <f t="shared" si="45"/>
        <v>Aug</v>
      </c>
      <c r="I314" s="8">
        <f t="shared" si="46"/>
        <v>8</v>
      </c>
      <c r="J314" s="4">
        <f t="shared" si="47"/>
        <v>44774</v>
      </c>
      <c r="K314" s="3" t="str">
        <f t="shared" si="48"/>
        <v>2022-Aug</v>
      </c>
      <c r="L314" s="8">
        <f t="shared" si="49"/>
        <v>753.67000000000007</v>
      </c>
      <c r="M314" s="8">
        <f t="shared" si="50"/>
        <v>1418.943555555556</v>
      </c>
      <c r="N314" s="6">
        <f t="shared" si="51"/>
        <v>0.53114868244700353</v>
      </c>
      <c r="O314" s="8">
        <f t="shared" si="52"/>
        <v>1767.0500000000002</v>
      </c>
      <c r="P314" s="6">
        <f t="shared" si="53"/>
        <v>-0.57348688492119637</v>
      </c>
      <c r="Q314" s="3" t="str">
        <f t="shared" si="54"/>
        <v>Degrowing</v>
      </c>
      <c r="R314" s="3">
        <f>IF(COUNTIFS($C$2:C314,C314,$J$2:J314,J314)=1,1,0)</f>
        <v>0</v>
      </c>
    </row>
    <row r="315" spans="1:18">
      <c r="A315" s="1">
        <v>44678</v>
      </c>
      <c r="B315" t="s">
        <v>17</v>
      </c>
      <c r="C315" t="s">
        <v>10</v>
      </c>
      <c r="D315">
        <v>14</v>
      </c>
      <c r="E315">
        <v>183.32</v>
      </c>
      <c r="F315" t="s">
        <v>22</v>
      </c>
      <c r="G315">
        <f t="shared" si="44"/>
        <v>2022</v>
      </c>
      <c r="H315" s="3" t="str">
        <f t="shared" si="45"/>
        <v>Apr</v>
      </c>
      <c r="I315" s="8">
        <f t="shared" si="46"/>
        <v>4</v>
      </c>
      <c r="J315" s="4">
        <f t="shared" si="47"/>
        <v>44652</v>
      </c>
      <c r="K315" s="3" t="str">
        <f t="shared" si="48"/>
        <v>2022-Apr</v>
      </c>
      <c r="L315" s="8">
        <f t="shared" si="49"/>
        <v>2185.4700000000003</v>
      </c>
      <c r="M315" s="8">
        <f t="shared" si="50"/>
        <v>841.31976923076911</v>
      </c>
      <c r="N315" s="6">
        <f t="shared" si="51"/>
        <v>2.5976686628892689</v>
      </c>
      <c r="O315" s="8">
        <f t="shared" si="52"/>
        <v>274.01</v>
      </c>
      <c r="P315" s="6">
        <f t="shared" si="53"/>
        <v>6.9758767928177816</v>
      </c>
      <c r="Q315" s="3" t="str">
        <f t="shared" si="54"/>
        <v>Growing</v>
      </c>
      <c r="R315" s="3">
        <f>IF(COUNTIFS($C$2:C315,C315,$J$2:J315,J315)=1,1,0)</f>
        <v>0</v>
      </c>
    </row>
    <row r="316" spans="1:18">
      <c r="A316" s="1">
        <v>44605</v>
      </c>
      <c r="B316" t="s">
        <v>18</v>
      </c>
      <c r="C316" t="s">
        <v>20</v>
      </c>
      <c r="D316">
        <v>15</v>
      </c>
      <c r="E316">
        <v>321.39999999999998</v>
      </c>
      <c r="F316" t="s">
        <v>14</v>
      </c>
      <c r="G316">
        <f t="shared" si="44"/>
        <v>2022</v>
      </c>
      <c r="H316" s="3" t="str">
        <f t="shared" si="45"/>
        <v>Feb</v>
      </c>
      <c r="I316" s="8">
        <f t="shared" si="46"/>
        <v>2</v>
      </c>
      <c r="J316" s="4">
        <f t="shared" si="47"/>
        <v>44593</v>
      </c>
      <c r="K316" s="3" t="str">
        <f t="shared" si="48"/>
        <v>2022-Feb</v>
      </c>
      <c r="L316" s="8">
        <f t="shared" si="49"/>
        <v>1484.3899999999999</v>
      </c>
      <c r="M316" s="8">
        <f t="shared" si="50"/>
        <v>1111.962857142857</v>
      </c>
      <c r="N316" s="6">
        <f t="shared" si="51"/>
        <v>1.3349276825793257</v>
      </c>
      <c r="O316" s="8">
        <f t="shared" si="52"/>
        <v>680.2299999999999</v>
      </c>
      <c r="P316" s="6">
        <f t="shared" si="53"/>
        <v>1.1821883774605648</v>
      </c>
      <c r="Q316" s="3" t="str">
        <f t="shared" si="54"/>
        <v>Growing</v>
      </c>
      <c r="R316" s="3">
        <f>IF(COUNTIFS($C$2:C316,C316,$J$2:J316,J316)=1,1,0)</f>
        <v>0</v>
      </c>
    </row>
    <row r="317" spans="1:18">
      <c r="A317" s="1">
        <v>44643</v>
      </c>
      <c r="B317" t="s">
        <v>17</v>
      </c>
      <c r="C317" t="s">
        <v>23</v>
      </c>
      <c r="D317">
        <v>2</v>
      </c>
      <c r="E317">
        <v>31.15</v>
      </c>
      <c r="F317" t="s">
        <v>16</v>
      </c>
      <c r="G317">
        <f t="shared" si="44"/>
        <v>2022</v>
      </c>
      <c r="H317" s="3" t="str">
        <f t="shared" si="45"/>
        <v>Mar</v>
      </c>
      <c r="I317" s="8">
        <f t="shared" si="46"/>
        <v>3</v>
      </c>
      <c r="J317" s="4">
        <f t="shared" si="47"/>
        <v>44621</v>
      </c>
      <c r="K317" s="3" t="str">
        <f t="shared" si="48"/>
        <v>2022-Mar</v>
      </c>
      <c r="L317" s="8">
        <f t="shared" si="49"/>
        <v>1922.5800000000002</v>
      </c>
      <c r="M317" s="8">
        <f t="shared" si="50"/>
        <v>841.79683636363654</v>
      </c>
      <c r="N317" s="6">
        <f t="shared" si="51"/>
        <v>2.2839002440364253</v>
      </c>
      <c r="O317" s="8">
        <f t="shared" si="52"/>
        <v>1770.3600000000001</v>
      </c>
      <c r="P317" s="6">
        <f t="shared" si="53"/>
        <v>8.5982512031451241E-2</v>
      </c>
      <c r="Q317" s="3" t="str">
        <f t="shared" si="54"/>
        <v>Growing</v>
      </c>
      <c r="R317" s="3">
        <f>IF(COUNTIFS($C$2:C317,C317,$J$2:J317,J317)=1,1,0)</f>
        <v>0</v>
      </c>
    </row>
    <row r="318" spans="1:18">
      <c r="A318" s="1">
        <v>44687</v>
      </c>
      <c r="B318" t="s">
        <v>18</v>
      </c>
      <c r="C318" t="s">
        <v>23</v>
      </c>
      <c r="D318">
        <v>8</v>
      </c>
      <c r="E318">
        <v>89.9</v>
      </c>
      <c r="F318" t="s">
        <v>22</v>
      </c>
      <c r="G318">
        <f t="shared" si="44"/>
        <v>2022</v>
      </c>
      <c r="H318" s="3" t="str">
        <f t="shared" si="45"/>
        <v>May</v>
      </c>
      <c r="I318" s="8">
        <f t="shared" si="46"/>
        <v>5</v>
      </c>
      <c r="J318" s="4">
        <f t="shared" si="47"/>
        <v>44682</v>
      </c>
      <c r="K318" s="3" t="str">
        <f t="shared" si="48"/>
        <v>2022-May</v>
      </c>
      <c r="L318" s="8">
        <f t="shared" si="49"/>
        <v>185.17000000000002</v>
      </c>
      <c r="M318" s="8">
        <f t="shared" si="50"/>
        <v>2805.9894545454554</v>
      </c>
      <c r="N318" s="6">
        <f t="shared" si="51"/>
        <v>6.5990982147149893E-2</v>
      </c>
      <c r="O318" s="8">
        <f t="shared" si="52"/>
        <v>1623.23</v>
      </c>
      <c r="P318" s="6">
        <f t="shared" si="53"/>
        <v>-0.88592497674389947</v>
      </c>
      <c r="Q318" s="3" t="str">
        <f t="shared" si="54"/>
        <v>Degrowing</v>
      </c>
      <c r="R318" s="3">
        <f>IF(COUNTIFS($C$2:C318,C318,$J$2:J318,J318)=1,1,0)</f>
        <v>0</v>
      </c>
    </row>
    <row r="319" spans="1:18">
      <c r="A319" s="1">
        <v>44676</v>
      </c>
      <c r="B319" t="s">
        <v>9</v>
      </c>
      <c r="C319" t="s">
        <v>20</v>
      </c>
      <c r="D319">
        <v>5</v>
      </c>
      <c r="E319">
        <v>64.41</v>
      </c>
      <c r="F319" t="s">
        <v>16</v>
      </c>
      <c r="G319">
        <f t="shared" si="44"/>
        <v>2022</v>
      </c>
      <c r="H319" s="3" t="str">
        <f t="shared" si="45"/>
        <v>Apr</v>
      </c>
      <c r="I319" s="8">
        <f t="shared" si="46"/>
        <v>4</v>
      </c>
      <c r="J319" s="4">
        <f t="shared" si="47"/>
        <v>44652</v>
      </c>
      <c r="K319" s="3" t="str">
        <f t="shared" si="48"/>
        <v>2022-Apr</v>
      </c>
      <c r="L319" s="8">
        <f t="shared" si="49"/>
        <v>740.37</v>
      </c>
      <c r="M319" s="8">
        <f t="shared" si="50"/>
        <v>1556.7479999999998</v>
      </c>
      <c r="N319" s="6">
        <f t="shared" si="51"/>
        <v>0.47558757101342036</v>
      </c>
      <c r="O319" s="8">
        <f t="shared" si="52"/>
        <v>690.2</v>
      </c>
      <c r="P319" s="6">
        <f t="shared" si="53"/>
        <v>7.2689075630252037E-2</v>
      </c>
      <c r="Q319" s="3" t="str">
        <f t="shared" si="54"/>
        <v>Growing</v>
      </c>
      <c r="R319" s="3">
        <f>IF(COUNTIFS($C$2:C319,C319,$J$2:J319,J319)=1,1,0)</f>
        <v>0</v>
      </c>
    </row>
    <row r="320" spans="1:18">
      <c r="A320" s="1">
        <v>44648</v>
      </c>
      <c r="B320" t="s">
        <v>9</v>
      </c>
      <c r="C320" t="s">
        <v>7</v>
      </c>
      <c r="D320">
        <v>20</v>
      </c>
      <c r="E320">
        <v>186.45</v>
      </c>
      <c r="F320" t="s">
        <v>8</v>
      </c>
      <c r="G320">
        <f t="shared" si="44"/>
        <v>2022</v>
      </c>
      <c r="H320" s="3" t="str">
        <f t="shared" si="45"/>
        <v>Mar</v>
      </c>
      <c r="I320" s="8">
        <f t="shared" si="46"/>
        <v>3</v>
      </c>
      <c r="J320" s="4">
        <f t="shared" si="47"/>
        <v>44621</v>
      </c>
      <c r="K320" s="3" t="str">
        <f t="shared" si="48"/>
        <v>2022-Mar</v>
      </c>
      <c r="L320" s="8">
        <f t="shared" si="49"/>
        <v>1795.9</v>
      </c>
      <c r="M320" s="8">
        <f t="shared" si="50"/>
        <v>862.01874999999984</v>
      </c>
      <c r="N320" s="6">
        <f t="shared" si="51"/>
        <v>2.0833653560319894</v>
      </c>
      <c r="O320" s="8">
        <f t="shared" si="52"/>
        <v>837.85</v>
      </c>
      <c r="P320" s="6">
        <f t="shared" si="53"/>
        <v>1.1434624336098347</v>
      </c>
      <c r="Q320" s="3" t="str">
        <f t="shared" si="54"/>
        <v>Growing</v>
      </c>
      <c r="R320" s="3">
        <f>IF(COUNTIFS($C$2:C320,C320,$J$2:J320,J320)=1,1,0)</f>
        <v>0</v>
      </c>
    </row>
    <row r="321" spans="1:18">
      <c r="A321" s="1">
        <v>44790</v>
      </c>
      <c r="B321" t="s">
        <v>18</v>
      </c>
      <c r="C321" t="s">
        <v>23</v>
      </c>
      <c r="D321">
        <v>19</v>
      </c>
      <c r="E321">
        <v>468.28</v>
      </c>
      <c r="F321" t="s">
        <v>8</v>
      </c>
      <c r="G321">
        <f t="shared" si="44"/>
        <v>2022</v>
      </c>
      <c r="H321" s="3" t="str">
        <f t="shared" si="45"/>
        <v>Aug</v>
      </c>
      <c r="I321" s="8">
        <f t="shared" si="46"/>
        <v>8</v>
      </c>
      <c r="J321" s="4">
        <f t="shared" si="47"/>
        <v>44774</v>
      </c>
      <c r="K321" s="3" t="str">
        <f t="shared" si="48"/>
        <v>2022-Aug</v>
      </c>
      <c r="L321" s="8">
        <f t="shared" si="49"/>
        <v>1328.57</v>
      </c>
      <c r="M321" s="8">
        <f t="shared" si="50"/>
        <v>1052.2460454545458</v>
      </c>
      <c r="N321" s="6">
        <f t="shared" si="51"/>
        <v>1.2626039373006992</v>
      </c>
      <c r="O321" s="8">
        <f t="shared" si="52"/>
        <v>1698.9899999999998</v>
      </c>
      <c r="P321" s="6">
        <f t="shared" si="53"/>
        <v>-0.21802364934461055</v>
      </c>
      <c r="Q321" s="3" t="str">
        <f t="shared" si="54"/>
        <v>Degrowing</v>
      </c>
      <c r="R321" s="3">
        <f>IF(COUNTIFS($C$2:C321,C321,$J$2:J321,J321)=1,1,0)</f>
        <v>0</v>
      </c>
    </row>
    <row r="322" spans="1:18">
      <c r="A322" s="1">
        <v>44802</v>
      </c>
      <c r="B322" t="s">
        <v>6</v>
      </c>
      <c r="C322" t="s">
        <v>10</v>
      </c>
      <c r="D322">
        <v>9</v>
      </c>
      <c r="E322">
        <v>188.06</v>
      </c>
      <c r="F322" t="s">
        <v>16</v>
      </c>
      <c r="G322">
        <f t="shared" si="44"/>
        <v>2022</v>
      </c>
      <c r="H322" s="3" t="str">
        <f t="shared" si="45"/>
        <v>Aug</v>
      </c>
      <c r="I322" s="8">
        <f t="shared" si="46"/>
        <v>8</v>
      </c>
      <c r="J322" s="4">
        <f t="shared" si="47"/>
        <v>44774</v>
      </c>
      <c r="K322" s="3" t="str">
        <f t="shared" si="48"/>
        <v>2022-Aug</v>
      </c>
      <c r="L322" s="8">
        <f t="shared" si="49"/>
        <v>1721.52</v>
      </c>
      <c r="M322" s="8">
        <f t="shared" si="50"/>
        <v>841.31976923076911</v>
      </c>
      <c r="N322" s="6">
        <f t="shared" si="51"/>
        <v>2.046213654974506</v>
      </c>
      <c r="O322" s="8">
        <f t="shared" si="52"/>
        <v>1166.76</v>
      </c>
      <c r="P322" s="6">
        <f t="shared" si="53"/>
        <v>0.47547053378586857</v>
      </c>
      <c r="Q322" s="3" t="str">
        <f t="shared" si="54"/>
        <v>Growing</v>
      </c>
      <c r="R322" s="3">
        <f>IF(COUNTIFS($C$2:C322,C322,$J$2:J322,J322)=1,1,0)</f>
        <v>0</v>
      </c>
    </row>
    <row r="323" spans="1:18">
      <c r="A323" s="1">
        <v>44715</v>
      </c>
      <c r="B323" t="s">
        <v>9</v>
      </c>
      <c r="C323" t="s">
        <v>7</v>
      </c>
      <c r="D323">
        <v>4</v>
      </c>
      <c r="E323">
        <v>48.71</v>
      </c>
      <c r="F323" t="s">
        <v>11</v>
      </c>
      <c r="G323">
        <f t="shared" ref="G323:G334" si="55">YEAR(A323)</f>
        <v>2022</v>
      </c>
      <c r="H323" s="3" t="str">
        <f t="shared" ref="H323:H334" si="56">TEXT(A323,"mmm")</f>
        <v>Jun</v>
      </c>
      <c r="I323" s="8">
        <f t="shared" ref="I323:I334" si="57">MONTH(A323)</f>
        <v>6</v>
      </c>
      <c r="J323" s="4">
        <f t="shared" ref="J323:J334" si="58">DATE(YEAR(A323),MONTH(A323),1)</f>
        <v>44713</v>
      </c>
      <c r="K323" s="3" t="str">
        <f t="shared" ref="K323:K334" si="59">TEXT(J323,"yyyy-mmm")</f>
        <v>2022-Jun</v>
      </c>
      <c r="L323" s="8">
        <f t="shared" ref="L323:L334" si="60">SUMIFS($E:$E,$C:$C,$C323,$J:$J,$J323)</f>
        <v>1013.7</v>
      </c>
      <c r="M323" s="8">
        <f t="shared" ref="M323:M334" si="61">AVERAGEIFS($E:$E,$C:$C,$C323)*7/COUNTIFS($C:$C,$C323,$I:$I,$I323)*6</f>
        <v>862.01874999999984</v>
      </c>
      <c r="N323" s="6">
        <f t="shared" ref="N323:N334" si="62">IFERROR(L323/M323,0)</f>
        <v>1.1759604996991078</v>
      </c>
      <c r="O323" s="8">
        <f t="shared" ref="O323:O334" si="63">SUMIFS($E:$E,$C:$C,$C323,$J:$J,EDATE(J323,-1))</f>
        <v>459.62</v>
      </c>
      <c r="P323" s="6">
        <f t="shared" ref="P323:P334" si="64">IFERROR((L323-O323)/O323,0)</f>
        <v>1.2055176014968889</v>
      </c>
      <c r="Q323" s="3" t="str">
        <f t="shared" ref="Q323:Q334" si="65">IF(P323&gt;0,"Growing",IF(P323&lt;0,"Degrowing","No Growth"))</f>
        <v>Growing</v>
      </c>
      <c r="R323" s="3">
        <f>IF(COUNTIFS($C$2:C323,C323,$J$2:J323,J323)=1,1,0)</f>
        <v>0</v>
      </c>
    </row>
    <row r="324" spans="1:18">
      <c r="A324" s="1">
        <v>44663</v>
      </c>
      <c r="B324" t="s">
        <v>17</v>
      </c>
      <c r="C324" t="s">
        <v>20</v>
      </c>
      <c r="D324">
        <v>18</v>
      </c>
      <c r="E324">
        <v>161.49</v>
      </c>
      <c r="F324" t="s">
        <v>8</v>
      </c>
      <c r="G324">
        <f t="shared" si="55"/>
        <v>2022</v>
      </c>
      <c r="H324" s="3" t="str">
        <f t="shared" si="56"/>
        <v>Apr</v>
      </c>
      <c r="I324" s="8">
        <f t="shared" si="57"/>
        <v>4</v>
      </c>
      <c r="J324" s="4">
        <f t="shared" si="58"/>
        <v>44652</v>
      </c>
      <c r="K324" s="3" t="str">
        <f t="shared" si="59"/>
        <v>2022-Apr</v>
      </c>
      <c r="L324" s="8">
        <f t="shared" si="60"/>
        <v>740.37</v>
      </c>
      <c r="M324" s="8">
        <f t="shared" si="61"/>
        <v>1556.7479999999998</v>
      </c>
      <c r="N324" s="6">
        <f t="shared" si="62"/>
        <v>0.47558757101342036</v>
      </c>
      <c r="O324" s="8">
        <f t="shared" si="63"/>
        <v>690.2</v>
      </c>
      <c r="P324" s="6">
        <f t="shared" si="64"/>
        <v>7.2689075630252037E-2</v>
      </c>
      <c r="Q324" s="3" t="str">
        <f t="shared" si="65"/>
        <v>Growing</v>
      </c>
      <c r="R324" s="3">
        <f>IF(COUNTIFS($C$2:C324,C324,$J$2:J324,J324)=1,1,0)</f>
        <v>0</v>
      </c>
    </row>
    <row r="325" spans="1:18">
      <c r="A325" s="1">
        <v>44608</v>
      </c>
      <c r="B325" t="s">
        <v>9</v>
      </c>
      <c r="C325" t="s">
        <v>10</v>
      </c>
      <c r="D325">
        <v>5</v>
      </c>
      <c r="E325">
        <v>120.28</v>
      </c>
      <c r="F325" t="s">
        <v>16</v>
      </c>
      <c r="G325">
        <f t="shared" si="55"/>
        <v>2022</v>
      </c>
      <c r="H325" s="3" t="str">
        <f t="shared" si="56"/>
        <v>Feb</v>
      </c>
      <c r="I325" s="8">
        <f t="shared" si="57"/>
        <v>2</v>
      </c>
      <c r="J325" s="4">
        <f t="shared" si="58"/>
        <v>44593</v>
      </c>
      <c r="K325" s="3" t="str">
        <f t="shared" si="59"/>
        <v>2022-Feb</v>
      </c>
      <c r="L325" s="8">
        <f t="shared" si="60"/>
        <v>1170.8000000000002</v>
      </c>
      <c r="M325" s="8">
        <f t="shared" si="61"/>
        <v>1682.6395384615382</v>
      </c>
      <c r="N325" s="6">
        <f t="shared" si="62"/>
        <v>0.69581153493545012</v>
      </c>
      <c r="O325" s="8">
        <f t="shared" si="63"/>
        <v>491.53</v>
      </c>
      <c r="P325" s="6">
        <f t="shared" si="64"/>
        <v>1.3819502370150352</v>
      </c>
      <c r="Q325" s="3" t="str">
        <f t="shared" si="65"/>
        <v>Growing</v>
      </c>
      <c r="R325" s="3">
        <f>IF(COUNTIFS($C$2:C325,C325,$J$2:J325,J325)=1,1,0)</f>
        <v>0</v>
      </c>
    </row>
    <row r="326" spans="1:18">
      <c r="A326" s="1">
        <v>44568</v>
      </c>
      <c r="B326" t="s">
        <v>9</v>
      </c>
      <c r="C326" t="s">
        <v>20</v>
      </c>
      <c r="D326">
        <v>8</v>
      </c>
      <c r="E326">
        <v>149.88999999999999</v>
      </c>
      <c r="F326" t="s">
        <v>11</v>
      </c>
      <c r="G326">
        <f t="shared" si="55"/>
        <v>2022</v>
      </c>
      <c r="H326" s="3" t="str">
        <f t="shared" si="56"/>
        <v>Jan</v>
      </c>
      <c r="I326" s="8">
        <f t="shared" si="57"/>
        <v>1</v>
      </c>
      <c r="J326" s="4">
        <f t="shared" si="58"/>
        <v>44562</v>
      </c>
      <c r="K326" s="3" t="str">
        <f t="shared" si="59"/>
        <v>2022-Jan</v>
      </c>
      <c r="L326" s="8">
        <f t="shared" si="60"/>
        <v>680.2299999999999</v>
      </c>
      <c r="M326" s="8">
        <f t="shared" si="61"/>
        <v>1556.7479999999998</v>
      </c>
      <c r="N326" s="6">
        <f t="shared" si="62"/>
        <v>0.43695575648724133</v>
      </c>
      <c r="O326" s="8">
        <f t="shared" si="63"/>
        <v>0</v>
      </c>
      <c r="P326" s="6">
        <f t="shared" si="64"/>
        <v>0</v>
      </c>
      <c r="Q326" s="3" t="str">
        <f t="shared" si="65"/>
        <v>No Growth</v>
      </c>
      <c r="R326" s="3">
        <f>IF(COUNTIFS($C$2:C326,C326,$J$2:J326,J326)=1,1,0)</f>
        <v>0</v>
      </c>
    </row>
    <row r="327" spans="1:18">
      <c r="A327" s="1">
        <v>44779</v>
      </c>
      <c r="B327" t="s">
        <v>18</v>
      </c>
      <c r="C327" t="s">
        <v>23</v>
      </c>
      <c r="D327">
        <v>9</v>
      </c>
      <c r="E327">
        <v>128.33000000000001</v>
      </c>
      <c r="F327" t="s">
        <v>8</v>
      </c>
      <c r="G327">
        <f t="shared" si="55"/>
        <v>2022</v>
      </c>
      <c r="H327" s="3" t="str">
        <f t="shared" si="56"/>
        <v>Aug</v>
      </c>
      <c r="I327" s="8">
        <f t="shared" si="57"/>
        <v>8</v>
      </c>
      <c r="J327" s="4">
        <f t="shared" si="58"/>
        <v>44774</v>
      </c>
      <c r="K327" s="3" t="str">
        <f t="shared" si="59"/>
        <v>2022-Aug</v>
      </c>
      <c r="L327" s="8">
        <f t="shared" si="60"/>
        <v>1328.57</v>
      </c>
      <c r="M327" s="8">
        <f t="shared" si="61"/>
        <v>1052.2460454545458</v>
      </c>
      <c r="N327" s="6">
        <f t="shared" si="62"/>
        <v>1.2626039373006992</v>
      </c>
      <c r="O327" s="8">
        <f t="shared" si="63"/>
        <v>1698.9899999999998</v>
      </c>
      <c r="P327" s="6">
        <f t="shared" si="64"/>
        <v>-0.21802364934461055</v>
      </c>
      <c r="Q327" s="3" t="str">
        <f t="shared" si="65"/>
        <v>Degrowing</v>
      </c>
      <c r="R327" s="3">
        <f>IF(COUNTIFS($C$2:C327,C327,$J$2:J327,J327)=1,1,0)</f>
        <v>0</v>
      </c>
    </row>
    <row r="328" spans="1:18">
      <c r="A328" s="1">
        <v>44765</v>
      </c>
      <c r="B328" t="s">
        <v>9</v>
      </c>
      <c r="C328" t="s">
        <v>10</v>
      </c>
      <c r="D328">
        <v>4</v>
      </c>
      <c r="E328">
        <v>73.27</v>
      </c>
      <c r="F328" t="s">
        <v>16</v>
      </c>
      <c r="G328">
        <f t="shared" si="55"/>
        <v>2022</v>
      </c>
      <c r="H328" s="3" t="str">
        <f t="shared" si="56"/>
        <v>Jul</v>
      </c>
      <c r="I328" s="8">
        <f t="shared" si="57"/>
        <v>7</v>
      </c>
      <c r="J328" s="4">
        <f t="shared" si="58"/>
        <v>44743</v>
      </c>
      <c r="K328" s="3" t="str">
        <f t="shared" si="59"/>
        <v>2022-Jul</v>
      </c>
      <c r="L328" s="8">
        <f t="shared" si="60"/>
        <v>1166.76</v>
      </c>
      <c r="M328" s="8">
        <f t="shared" si="61"/>
        <v>1682.6395384615382</v>
      </c>
      <c r="N328" s="6">
        <f t="shared" si="62"/>
        <v>0.69341054535470237</v>
      </c>
      <c r="O328" s="8">
        <f t="shared" si="63"/>
        <v>761.09999999999991</v>
      </c>
      <c r="P328" s="6">
        <f t="shared" si="64"/>
        <v>0.53299172250689808</v>
      </c>
      <c r="Q328" s="3" t="str">
        <f t="shared" si="65"/>
        <v>Growing</v>
      </c>
      <c r="R328" s="3">
        <f>IF(COUNTIFS($C$2:C328,C328,$J$2:J328,J328)=1,1,0)</f>
        <v>0</v>
      </c>
    </row>
    <row r="329" spans="1:18">
      <c r="A329" s="1">
        <v>44774</v>
      </c>
      <c r="B329" t="s">
        <v>15</v>
      </c>
      <c r="C329" t="s">
        <v>19</v>
      </c>
      <c r="D329">
        <v>5</v>
      </c>
      <c r="E329">
        <v>103.86</v>
      </c>
      <c r="F329" t="s">
        <v>22</v>
      </c>
      <c r="G329">
        <f t="shared" si="55"/>
        <v>2022</v>
      </c>
      <c r="H329" s="3" t="str">
        <f t="shared" si="56"/>
        <v>Aug</v>
      </c>
      <c r="I329" s="8">
        <f t="shared" si="57"/>
        <v>8</v>
      </c>
      <c r="J329" s="4">
        <f t="shared" si="58"/>
        <v>44774</v>
      </c>
      <c r="K329" s="3" t="str">
        <f t="shared" si="59"/>
        <v>2022-Aug</v>
      </c>
      <c r="L329" s="8">
        <f t="shared" si="60"/>
        <v>753.67000000000007</v>
      </c>
      <c r="M329" s="8">
        <f t="shared" si="61"/>
        <v>1418.943555555556</v>
      </c>
      <c r="N329" s="6">
        <f t="shared" si="62"/>
        <v>0.53114868244700353</v>
      </c>
      <c r="O329" s="8">
        <f t="shared" si="63"/>
        <v>1767.0500000000002</v>
      </c>
      <c r="P329" s="6">
        <f t="shared" si="64"/>
        <v>-0.57348688492119637</v>
      </c>
      <c r="Q329" s="3" t="str">
        <f t="shared" si="65"/>
        <v>Degrowing</v>
      </c>
      <c r="R329" s="3">
        <f>IF(COUNTIFS($C$2:C329,C329,$J$2:J329,J329)=1,1,0)</f>
        <v>0</v>
      </c>
    </row>
    <row r="330" spans="1:18">
      <c r="A330" s="1">
        <v>44600</v>
      </c>
      <c r="B330" t="s">
        <v>15</v>
      </c>
      <c r="C330" t="s">
        <v>20</v>
      </c>
      <c r="D330">
        <v>15</v>
      </c>
      <c r="E330">
        <v>302.45999999999998</v>
      </c>
      <c r="F330" t="s">
        <v>14</v>
      </c>
      <c r="G330">
        <f t="shared" si="55"/>
        <v>2022</v>
      </c>
      <c r="H330" s="3" t="str">
        <f t="shared" si="56"/>
        <v>Feb</v>
      </c>
      <c r="I330" s="8">
        <f t="shared" si="57"/>
        <v>2</v>
      </c>
      <c r="J330" s="4">
        <f t="shared" si="58"/>
        <v>44593</v>
      </c>
      <c r="K330" s="3" t="str">
        <f t="shared" si="59"/>
        <v>2022-Feb</v>
      </c>
      <c r="L330" s="8">
        <f t="shared" si="60"/>
        <v>1484.3899999999999</v>
      </c>
      <c r="M330" s="8">
        <f t="shared" si="61"/>
        <v>1111.962857142857</v>
      </c>
      <c r="N330" s="6">
        <f t="shared" si="62"/>
        <v>1.3349276825793257</v>
      </c>
      <c r="O330" s="8">
        <f t="shared" si="63"/>
        <v>680.2299999999999</v>
      </c>
      <c r="P330" s="6">
        <f t="shared" si="64"/>
        <v>1.1821883774605648</v>
      </c>
      <c r="Q330" s="3" t="str">
        <f t="shared" si="65"/>
        <v>Growing</v>
      </c>
      <c r="R330" s="3">
        <f>IF(COUNTIFS($C$2:C330,C330,$J$2:J330,J330)=1,1,0)</f>
        <v>0</v>
      </c>
    </row>
    <row r="331" spans="1:18">
      <c r="A331" s="1">
        <v>44801</v>
      </c>
      <c r="B331" t="s">
        <v>21</v>
      </c>
      <c r="C331" t="s">
        <v>24</v>
      </c>
      <c r="D331">
        <v>3</v>
      </c>
      <c r="E331">
        <v>52.5</v>
      </c>
      <c r="F331" t="s">
        <v>22</v>
      </c>
      <c r="G331">
        <f t="shared" si="55"/>
        <v>2022</v>
      </c>
      <c r="H331" s="3" t="str">
        <f t="shared" si="56"/>
        <v>Aug</v>
      </c>
      <c r="I331" s="8">
        <f t="shared" si="57"/>
        <v>8</v>
      </c>
      <c r="J331" s="4">
        <f t="shared" si="58"/>
        <v>44774</v>
      </c>
      <c r="K331" s="3" t="str">
        <f t="shared" si="59"/>
        <v>2022-Aug</v>
      </c>
      <c r="L331" s="8">
        <f t="shared" si="60"/>
        <v>896.81</v>
      </c>
      <c r="M331" s="8">
        <f t="shared" si="61"/>
        <v>1094.9664444444443</v>
      </c>
      <c r="N331" s="6">
        <f t="shared" si="62"/>
        <v>0.81902966483600015</v>
      </c>
      <c r="O331" s="8">
        <f t="shared" si="63"/>
        <v>874.87</v>
      </c>
      <c r="P331" s="6">
        <f t="shared" si="64"/>
        <v>2.5078011590293346E-2</v>
      </c>
      <c r="Q331" s="3" t="str">
        <f t="shared" si="65"/>
        <v>Growing</v>
      </c>
      <c r="R331" s="3">
        <f>IF(COUNTIFS($C$2:C331,C331,$J$2:J331,J331)=1,1,0)</f>
        <v>0</v>
      </c>
    </row>
    <row r="332" spans="1:18">
      <c r="A332" s="1">
        <v>44668</v>
      </c>
      <c r="B332" t="s">
        <v>18</v>
      </c>
      <c r="C332" t="s">
        <v>7</v>
      </c>
      <c r="D332">
        <v>5</v>
      </c>
      <c r="E332">
        <v>65.67</v>
      </c>
      <c r="F332" t="s">
        <v>14</v>
      </c>
      <c r="G332">
        <f t="shared" si="55"/>
        <v>2022</v>
      </c>
      <c r="H332" s="3" t="str">
        <f t="shared" si="56"/>
        <v>Apr</v>
      </c>
      <c r="I332" s="8">
        <f t="shared" si="57"/>
        <v>4</v>
      </c>
      <c r="J332" s="4">
        <f t="shared" si="58"/>
        <v>44652</v>
      </c>
      <c r="K332" s="3" t="str">
        <f t="shared" si="59"/>
        <v>2022-Apr</v>
      </c>
      <c r="L332" s="8">
        <f t="shared" si="60"/>
        <v>574.2399999999999</v>
      </c>
      <c r="M332" s="8">
        <f t="shared" si="61"/>
        <v>1206.8262499999996</v>
      </c>
      <c r="N332" s="6">
        <f t="shared" si="62"/>
        <v>0.47582657404079509</v>
      </c>
      <c r="O332" s="8">
        <f t="shared" si="63"/>
        <v>1795.9</v>
      </c>
      <c r="P332" s="6">
        <f t="shared" si="64"/>
        <v>-0.68024945709672047</v>
      </c>
      <c r="Q332" s="3" t="str">
        <f t="shared" si="65"/>
        <v>Degrowing</v>
      </c>
      <c r="R332" s="3">
        <f>IF(COUNTIFS($C$2:C332,C332,$J$2:J332,J332)=1,1,0)</f>
        <v>0</v>
      </c>
    </row>
    <row r="333" spans="1:18">
      <c r="A333" s="1">
        <v>44566</v>
      </c>
      <c r="B333" t="s">
        <v>17</v>
      </c>
      <c r="C333" t="s">
        <v>24</v>
      </c>
      <c r="D333">
        <v>17</v>
      </c>
      <c r="E333">
        <v>247.43</v>
      </c>
      <c r="F333" t="s">
        <v>16</v>
      </c>
      <c r="G333">
        <f t="shared" si="55"/>
        <v>2022</v>
      </c>
      <c r="H333" s="3" t="str">
        <f t="shared" si="56"/>
        <v>Jan</v>
      </c>
      <c r="I333" s="8">
        <f t="shared" si="57"/>
        <v>1</v>
      </c>
      <c r="J333" s="4">
        <f t="shared" si="58"/>
        <v>44562</v>
      </c>
      <c r="K333" s="3" t="str">
        <f t="shared" si="59"/>
        <v>2022-Jan</v>
      </c>
      <c r="L333" s="8">
        <f t="shared" si="60"/>
        <v>1214.3899999999999</v>
      </c>
      <c r="M333" s="8">
        <f t="shared" si="61"/>
        <v>821.22483333333321</v>
      </c>
      <c r="N333" s="6">
        <f t="shared" si="62"/>
        <v>1.4787546000902312</v>
      </c>
      <c r="O333" s="8">
        <f t="shared" si="63"/>
        <v>0</v>
      </c>
      <c r="P333" s="6">
        <f t="shared" si="64"/>
        <v>0</v>
      </c>
      <c r="Q333" s="3" t="str">
        <f t="shared" si="65"/>
        <v>No Growth</v>
      </c>
      <c r="R333" s="3">
        <f>IF(COUNTIFS($C$2:C333,C333,$J$2:J333,J333)=1,1,0)</f>
        <v>0</v>
      </c>
    </row>
    <row r="334" spans="1:18">
      <c r="A334" s="1">
        <v>44784</v>
      </c>
      <c r="B334" t="s">
        <v>15</v>
      </c>
      <c r="C334" t="s">
        <v>23</v>
      </c>
      <c r="D334">
        <v>3</v>
      </c>
      <c r="E334">
        <v>65.98</v>
      </c>
      <c r="F334" t="s">
        <v>14</v>
      </c>
      <c r="G334">
        <f t="shared" si="55"/>
        <v>2022</v>
      </c>
      <c r="H334" s="3" t="str">
        <f t="shared" si="56"/>
        <v>Aug</v>
      </c>
      <c r="I334" s="8">
        <f t="shared" si="57"/>
        <v>8</v>
      </c>
      <c r="J334" s="4">
        <f t="shared" si="58"/>
        <v>44774</v>
      </c>
      <c r="K334" s="3" t="str">
        <f t="shared" si="59"/>
        <v>2022-Aug</v>
      </c>
      <c r="L334" s="8">
        <f t="shared" si="60"/>
        <v>1328.57</v>
      </c>
      <c r="M334" s="8">
        <f t="shared" si="61"/>
        <v>1052.2460454545458</v>
      </c>
      <c r="N334" s="6">
        <f t="shared" si="62"/>
        <v>1.2626039373006992</v>
      </c>
      <c r="O334" s="8">
        <f t="shared" si="63"/>
        <v>1698.9899999999998</v>
      </c>
      <c r="P334" s="6">
        <f t="shared" si="64"/>
        <v>-0.21802364934461055</v>
      </c>
      <c r="Q334" s="3" t="str">
        <f t="shared" si="65"/>
        <v>Degrowing</v>
      </c>
      <c r="R334" s="3">
        <f>IF(COUNTIFS($C$2:C334,C334,$J$2:J334,J334)=1,1,0)</f>
        <v>0</v>
      </c>
    </row>
  </sheetData>
  <dataConsolid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C3D5E-BEA5-41DA-9992-C40C9CBF52A7}">
  <sheetPr filterMode="1"/>
  <dimension ref="B1:H334"/>
  <sheetViews>
    <sheetView workbookViewId="0">
      <selection activeCell="F252" sqref="F252:F312"/>
    </sheetView>
  </sheetViews>
  <sheetFormatPr defaultRowHeight="14.4"/>
  <cols>
    <col min="2" max="2" width="10.33203125" bestFit="1" customWidth="1"/>
    <col min="3" max="3" width="15.6640625" bestFit="1" customWidth="1"/>
    <col min="4" max="4" width="11.33203125" bestFit="1" customWidth="1"/>
    <col min="5" max="5" width="12.5546875" bestFit="1" customWidth="1"/>
    <col min="6" max="6" width="9.6640625" bestFit="1" customWidth="1"/>
    <col min="7" max="7" width="8.109375" bestFit="1" customWidth="1"/>
    <col min="8" max="8" width="5" bestFit="1" customWidth="1"/>
  </cols>
  <sheetData>
    <row r="1" spans="2:8">
      <c r="B1" t="s">
        <v>0</v>
      </c>
      <c r="C1" t="s">
        <v>1</v>
      </c>
      <c r="D1" t="s">
        <v>2</v>
      </c>
      <c r="E1" t="s">
        <v>3</v>
      </c>
      <c r="F1" t="s">
        <v>4</v>
      </c>
      <c r="G1" t="s">
        <v>5</v>
      </c>
      <c r="H1" t="s">
        <v>25</v>
      </c>
    </row>
    <row r="2" spans="2:8">
      <c r="B2" s="1">
        <v>44620</v>
      </c>
      <c r="C2" t="s">
        <v>15</v>
      </c>
      <c r="D2" t="s">
        <v>7</v>
      </c>
      <c r="E2">
        <v>7</v>
      </c>
      <c r="F2">
        <v>133.38</v>
      </c>
      <c r="G2" t="s">
        <v>14</v>
      </c>
      <c r="H2">
        <f t="shared" ref="H2:H65" si="0">YEAR(B2)</f>
        <v>2022</v>
      </c>
    </row>
    <row r="3" spans="2:8" hidden="1">
      <c r="B3" s="1">
        <v>44597</v>
      </c>
      <c r="C3" t="s">
        <v>9</v>
      </c>
      <c r="D3" t="s">
        <v>10</v>
      </c>
      <c r="E3">
        <v>18</v>
      </c>
      <c r="F3">
        <v>421.46</v>
      </c>
      <c r="G3" t="s">
        <v>11</v>
      </c>
      <c r="H3">
        <f t="shared" si="0"/>
        <v>2022</v>
      </c>
    </row>
    <row r="4" spans="2:8" hidden="1">
      <c r="B4" s="1">
        <v>44611</v>
      </c>
      <c r="C4" t="s">
        <v>12</v>
      </c>
      <c r="D4" t="s">
        <v>13</v>
      </c>
      <c r="E4">
        <v>2</v>
      </c>
      <c r="F4">
        <v>48.25</v>
      </c>
      <c r="G4" t="s">
        <v>14</v>
      </c>
      <c r="H4">
        <f t="shared" si="0"/>
        <v>2022</v>
      </c>
    </row>
    <row r="5" spans="2:8" hidden="1">
      <c r="B5" s="1">
        <v>44648</v>
      </c>
      <c r="C5" t="s">
        <v>6</v>
      </c>
      <c r="D5" t="s">
        <v>10</v>
      </c>
      <c r="E5">
        <v>5</v>
      </c>
      <c r="F5">
        <v>59.89</v>
      </c>
      <c r="G5" t="s">
        <v>14</v>
      </c>
      <c r="H5">
        <f t="shared" si="0"/>
        <v>2022</v>
      </c>
    </row>
    <row r="6" spans="2:8" hidden="1">
      <c r="B6" s="1">
        <v>44578</v>
      </c>
      <c r="C6" t="s">
        <v>15</v>
      </c>
      <c r="D6" t="s">
        <v>13</v>
      </c>
      <c r="E6">
        <v>8</v>
      </c>
      <c r="F6">
        <v>147.72999999999999</v>
      </c>
      <c r="G6" t="s">
        <v>16</v>
      </c>
      <c r="H6">
        <f t="shared" si="0"/>
        <v>2022</v>
      </c>
    </row>
    <row r="7" spans="2:8" hidden="1">
      <c r="B7" s="1">
        <v>44601</v>
      </c>
      <c r="C7" t="s">
        <v>15</v>
      </c>
      <c r="D7" t="s">
        <v>13</v>
      </c>
      <c r="E7">
        <v>18</v>
      </c>
      <c r="F7">
        <v>400.87</v>
      </c>
      <c r="G7" t="s">
        <v>16</v>
      </c>
      <c r="H7">
        <f t="shared" si="0"/>
        <v>2022</v>
      </c>
    </row>
    <row r="8" spans="2:8" hidden="1">
      <c r="B8" s="1">
        <v>44742</v>
      </c>
      <c r="C8" t="s">
        <v>9</v>
      </c>
      <c r="D8" t="s">
        <v>10</v>
      </c>
      <c r="E8">
        <v>3</v>
      </c>
      <c r="F8">
        <v>50.35</v>
      </c>
      <c r="G8" t="s">
        <v>8</v>
      </c>
      <c r="H8">
        <f t="shared" si="0"/>
        <v>2022</v>
      </c>
    </row>
    <row r="9" spans="2:8" hidden="1">
      <c r="B9" s="1">
        <v>44767</v>
      </c>
      <c r="C9" t="s">
        <v>17</v>
      </c>
      <c r="D9" t="s">
        <v>13</v>
      </c>
      <c r="E9">
        <v>13</v>
      </c>
      <c r="F9">
        <v>282.43</v>
      </c>
      <c r="G9" t="s">
        <v>16</v>
      </c>
      <c r="H9">
        <f t="shared" si="0"/>
        <v>2022</v>
      </c>
    </row>
    <row r="10" spans="2:8" hidden="1">
      <c r="B10" s="1">
        <v>44640</v>
      </c>
      <c r="C10" t="s">
        <v>18</v>
      </c>
      <c r="D10" t="s">
        <v>19</v>
      </c>
      <c r="E10">
        <v>17</v>
      </c>
      <c r="F10">
        <v>394.01</v>
      </c>
      <c r="G10" t="s">
        <v>14</v>
      </c>
      <c r="H10">
        <f t="shared" si="0"/>
        <v>2022</v>
      </c>
    </row>
    <row r="11" spans="2:8" hidden="1">
      <c r="B11" s="1">
        <v>44585</v>
      </c>
      <c r="C11" t="s">
        <v>9</v>
      </c>
      <c r="D11" t="s">
        <v>20</v>
      </c>
      <c r="E11">
        <v>7</v>
      </c>
      <c r="F11">
        <v>89.29</v>
      </c>
      <c r="G11" t="s">
        <v>8</v>
      </c>
      <c r="H11">
        <f t="shared" si="0"/>
        <v>2022</v>
      </c>
    </row>
    <row r="12" spans="2:8" hidden="1">
      <c r="B12" s="1">
        <v>44678</v>
      </c>
      <c r="C12" t="s">
        <v>12</v>
      </c>
      <c r="D12" t="s">
        <v>7</v>
      </c>
      <c r="E12">
        <v>11</v>
      </c>
      <c r="F12">
        <v>150.72999999999999</v>
      </c>
      <c r="G12" t="s">
        <v>11</v>
      </c>
      <c r="H12">
        <f t="shared" si="0"/>
        <v>2022</v>
      </c>
    </row>
    <row r="13" spans="2:8" hidden="1">
      <c r="B13" s="1">
        <v>44610</v>
      </c>
      <c r="C13" t="s">
        <v>6</v>
      </c>
      <c r="D13" t="s">
        <v>13</v>
      </c>
      <c r="E13">
        <v>5</v>
      </c>
      <c r="F13">
        <v>63.41</v>
      </c>
      <c r="G13" t="s">
        <v>16</v>
      </c>
      <c r="H13">
        <f t="shared" si="0"/>
        <v>2022</v>
      </c>
    </row>
    <row r="14" spans="2:8" hidden="1">
      <c r="B14" s="1">
        <v>44738</v>
      </c>
      <c r="C14" t="s">
        <v>6</v>
      </c>
      <c r="D14" t="s">
        <v>7</v>
      </c>
      <c r="E14">
        <v>18</v>
      </c>
      <c r="F14">
        <v>175.89</v>
      </c>
      <c r="G14" t="s">
        <v>16</v>
      </c>
      <c r="H14">
        <f t="shared" si="0"/>
        <v>2022</v>
      </c>
    </row>
    <row r="15" spans="2:8" hidden="1">
      <c r="B15" s="1">
        <v>44731</v>
      </c>
      <c r="C15" t="s">
        <v>18</v>
      </c>
      <c r="D15" t="s">
        <v>19</v>
      </c>
      <c r="E15">
        <v>18</v>
      </c>
      <c r="F15">
        <v>296.97000000000003</v>
      </c>
      <c r="G15" t="s">
        <v>8</v>
      </c>
      <c r="H15">
        <f t="shared" si="0"/>
        <v>2022</v>
      </c>
    </row>
    <row r="16" spans="2:8" hidden="1">
      <c r="B16" s="1">
        <v>44715</v>
      </c>
      <c r="C16" t="s">
        <v>12</v>
      </c>
      <c r="D16" t="s">
        <v>13</v>
      </c>
      <c r="E16">
        <v>12</v>
      </c>
      <c r="F16">
        <v>177.75</v>
      </c>
      <c r="G16" t="s">
        <v>16</v>
      </c>
      <c r="H16">
        <f t="shared" si="0"/>
        <v>2022</v>
      </c>
    </row>
    <row r="17" spans="2:8" hidden="1">
      <c r="B17" s="1">
        <v>44656</v>
      </c>
      <c r="C17" t="s">
        <v>12</v>
      </c>
      <c r="D17" t="s">
        <v>10</v>
      </c>
      <c r="E17">
        <v>14</v>
      </c>
      <c r="F17">
        <v>285.08999999999997</v>
      </c>
      <c r="G17" t="s">
        <v>11</v>
      </c>
      <c r="H17">
        <f t="shared" si="0"/>
        <v>2022</v>
      </c>
    </row>
    <row r="18" spans="2:8" hidden="1">
      <c r="B18" s="1">
        <v>44668</v>
      </c>
      <c r="C18" t="s">
        <v>6</v>
      </c>
      <c r="D18" t="s">
        <v>13</v>
      </c>
      <c r="E18">
        <v>12</v>
      </c>
      <c r="F18">
        <v>277.22000000000003</v>
      </c>
      <c r="G18" t="s">
        <v>8</v>
      </c>
      <c r="H18">
        <f t="shared" si="0"/>
        <v>2022</v>
      </c>
    </row>
    <row r="19" spans="2:8" hidden="1">
      <c r="B19" s="1">
        <v>44603</v>
      </c>
      <c r="C19" t="s">
        <v>18</v>
      </c>
      <c r="D19" t="s">
        <v>19</v>
      </c>
      <c r="E19">
        <v>17</v>
      </c>
      <c r="F19">
        <v>175.18</v>
      </c>
      <c r="G19" t="s">
        <v>11</v>
      </c>
      <c r="H19">
        <f t="shared" si="0"/>
        <v>2022</v>
      </c>
    </row>
    <row r="20" spans="2:8" hidden="1">
      <c r="B20" s="1">
        <v>44579</v>
      </c>
      <c r="C20" t="s">
        <v>9</v>
      </c>
      <c r="D20" t="s">
        <v>13</v>
      </c>
      <c r="E20">
        <v>12</v>
      </c>
      <c r="F20">
        <v>192.16</v>
      </c>
      <c r="G20" t="s">
        <v>8</v>
      </c>
      <c r="H20">
        <f t="shared" si="0"/>
        <v>2022</v>
      </c>
    </row>
    <row r="21" spans="2:8" hidden="1">
      <c r="B21" s="1">
        <v>44711</v>
      </c>
      <c r="C21" t="s">
        <v>21</v>
      </c>
      <c r="D21" t="s">
        <v>10</v>
      </c>
      <c r="E21">
        <v>9</v>
      </c>
      <c r="F21">
        <v>123.12</v>
      </c>
      <c r="G21" t="s">
        <v>22</v>
      </c>
      <c r="H21">
        <f t="shared" si="0"/>
        <v>2022</v>
      </c>
    </row>
    <row r="22" spans="2:8" hidden="1">
      <c r="B22" s="1">
        <v>44730</v>
      </c>
      <c r="C22" t="s">
        <v>6</v>
      </c>
      <c r="D22" t="s">
        <v>7</v>
      </c>
      <c r="E22">
        <v>15</v>
      </c>
      <c r="F22">
        <v>238.86</v>
      </c>
      <c r="G22" t="s">
        <v>8</v>
      </c>
      <c r="H22">
        <f t="shared" si="0"/>
        <v>2022</v>
      </c>
    </row>
    <row r="23" spans="2:8" hidden="1">
      <c r="B23" s="1">
        <v>44748</v>
      </c>
      <c r="C23" t="s">
        <v>17</v>
      </c>
      <c r="D23" t="s">
        <v>20</v>
      </c>
      <c r="E23">
        <v>20</v>
      </c>
      <c r="F23">
        <v>272.37</v>
      </c>
      <c r="G23" t="s">
        <v>14</v>
      </c>
      <c r="H23">
        <f t="shared" si="0"/>
        <v>2022</v>
      </c>
    </row>
    <row r="24" spans="2:8" hidden="1">
      <c r="B24" s="1">
        <v>44706</v>
      </c>
      <c r="C24" t="s">
        <v>21</v>
      </c>
      <c r="D24" t="s">
        <v>23</v>
      </c>
      <c r="E24">
        <v>8</v>
      </c>
      <c r="F24">
        <v>82.86</v>
      </c>
      <c r="G24" t="s">
        <v>16</v>
      </c>
      <c r="H24">
        <f t="shared" si="0"/>
        <v>2022</v>
      </c>
    </row>
    <row r="25" spans="2:8" hidden="1">
      <c r="B25" s="1">
        <v>44677</v>
      </c>
      <c r="C25" t="s">
        <v>17</v>
      </c>
      <c r="D25" t="s">
        <v>24</v>
      </c>
      <c r="E25">
        <v>19</v>
      </c>
      <c r="F25">
        <v>447.21</v>
      </c>
      <c r="G25" t="s">
        <v>22</v>
      </c>
      <c r="H25">
        <f t="shared" si="0"/>
        <v>2022</v>
      </c>
    </row>
    <row r="26" spans="2:8" hidden="1">
      <c r="B26" s="1">
        <v>44738</v>
      </c>
      <c r="C26" t="s">
        <v>17</v>
      </c>
      <c r="D26" t="s">
        <v>19</v>
      </c>
      <c r="E26">
        <v>1</v>
      </c>
      <c r="F26">
        <v>9.98</v>
      </c>
      <c r="G26" t="s">
        <v>11</v>
      </c>
      <c r="H26">
        <f t="shared" si="0"/>
        <v>2022</v>
      </c>
    </row>
    <row r="27" spans="2:8" hidden="1">
      <c r="B27" s="1">
        <v>44743</v>
      </c>
      <c r="C27" t="s">
        <v>6</v>
      </c>
      <c r="D27" t="s">
        <v>23</v>
      </c>
      <c r="E27">
        <v>5</v>
      </c>
      <c r="F27">
        <v>101.4</v>
      </c>
      <c r="G27" t="s">
        <v>22</v>
      </c>
      <c r="H27">
        <f t="shared" si="0"/>
        <v>2022</v>
      </c>
    </row>
    <row r="28" spans="2:8" hidden="1">
      <c r="B28" s="1">
        <v>44801</v>
      </c>
      <c r="C28" t="s">
        <v>15</v>
      </c>
      <c r="D28" t="s">
        <v>20</v>
      </c>
      <c r="E28">
        <v>13</v>
      </c>
      <c r="F28">
        <v>206.79</v>
      </c>
      <c r="G28" t="s">
        <v>22</v>
      </c>
      <c r="H28">
        <f t="shared" si="0"/>
        <v>2022</v>
      </c>
    </row>
    <row r="29" spans="2:8" hidden="1">
      <c r="B29" s="1">
        <v>44750</v>
      </c>
      <c r="C29" t="s">
        <v>21</v>
      </c>
      <c r="D29" t="s">
        <v>24</v>
      </c>
      <c r="E29">
        <v>11</v>
      </c>
      <c r="F29">
        <v>153.08000000000001</v>
      </c>
      <c r="G29" t="s">
        <v>14</v>
      </c>
      <c r="H29">
        <f t="shared" si="0"/>
        <v>2022</v>
      </c>
    </row>
    <row r="30" spans="2:8" hidden="1">
      <c r="B30" s="1">
        <v>44595</v>
      </c>
      <c r="C30" t="s">
        <v>15</v>
      </c>
      <c r="D30" t="s">
        <v>24</v>
      </c>
      <c r="E30">
        <v>18</v>
      </c>
      <c r="F30">
        <v>411.44</v>
      </c>
      <c r="G30" t="s">
        <v>16</v>
      </c>
      <c r="H30">
        <f t="shared" si="0"/>
        <v>2022</v>
      </c>
    </row>
    <row r="31" spans="2:8" hidden="1">
      <c r="B31" s="1">
        <v>44637</v>
      </c>
      <c r="C31" t="s">
        <v>21</v>
      </c>
      <c r="D31" t="s">
        <v>23</v>
      </c>
      <c r="E31">
        <v>5</v>
      </c>
      <c r="F31">
        <v>46.92</v>
      </c>
      <c r="G31" t="s">
        <v>11</v>
      </c>
      <c r="H31">
        <f t="shared" si="0"/>
        <v>2022</v>
      </c>
    </row>
    <row r="32" spans="2:8" hidden="1">
      <c r="B32" s="1">
        <v>44737</v>
      </c>
      <c r="C32" t="s">
        <v>12</v>
      </c>
      <c r="D32" t="s">
        <v>7</v>
      </c>
      <c r="E32">
        <v>3</v>
      </c>
      <c r="F32">
        <v>42.85</v>
      </c>
      <c r="G32" t="s">
        <v>14</v>
      </c>
      <c r="H32">
        <f t="shared" si="0"/>
        <v>2022</v>
      </c>
    </row>
    <row r="33" spans="2:8" hidden="1">
      <c r="B33" s="1">
        <v>44723</v>
      </c>
      <c r="C33" t="s">
        <v>17</v>
      </c>
      <c r="D33" t="s">
        <v>19</v>
      </c>
      <c r="E33">
        <v>2</v>
      </c>
      <c r="F33">
        <v>40.17</v>
      </c>
      <c r="G33" t="s">
        <v>14</v>
      </c>
      <c r="H33">
        <f t="shared" si="0"/>
        <v>2022</v>
      </c>
    </row>
    <row r="34" spans="2:8" hidden="1">
      <c r="B34" s="1">
        <v>44649</v>
      </c>
      <c r="C34" t="s">
        <v>9</v>
      </c>
      <c r="D34" t="s">
        <v>23</v>
      </c>
      <c r="E34">
        <v>13</v>
      </c>
      <c r="F34">
        <v>243.79</v>
      </c>
      <c r="G34" t="s">
        <v>11</v>
      </c>
      <c r="H34">
        <f t="shared" si="0"/>
        <v>2022</v>
      </c>
    </row>
    <row r="35" spans="2:8" hidden="1">
      <c r="B35" s="1">
        <v>44646</v>
      </c>
      <c r="C35" t="s">
        <v>9</v>
      </c>
      <c r="D35" t="s">
        <v>19</v>
      </c>
      <c r="E35">
        <v>2</v>
      </c>
      <c r="F35">
        <v>44.86</v>
      </c>
      <c r="G35" t="s">
        <v>14</v>
      </c>
      <c r="H35">
        <f t="shared" si="0"/>
        <v>2022</v>
      </c>
    </row>
    <row r="36" spans="2:8" hidden="1">
      <c r="B36" s="1">
        <v>44757</v>
      </c>
      <c r="C36" t="s">
        <v>15</v>
      </c>
      <c r="D36" t="s">
        <v>10</v>
      </c>
      <c r="E36">
        <v>19</v>
      </c>
      <c r="F36">
        <v>288.39999999999998</v>
      </c>
      <c r="G36" t="s">
        <v>14</v>
      </c>
      <c r="H36">
        <f t="shared" si="0"/>
        <v>2022</v>
      </c>
    </row>
    <row r="37" spans="2:8" hidden="1">
      <c r="B37" s="1">
        <v>44758</v>
      </c>
      <c r="C37" t="s">
        <v>12</v>
      </c>
      <c r="D37" t="s">
        <v>24</v>
      </c>
      <c r="E37">
        <v>9</v>
      </c>
      <c r="F37">
        <v>137.02000000000001</v>
      </c>
      <c r="G37" t="s">
        <v>22</v>
      </c>
      <c r="H37">
        <f t="shared" si="0"/>
        <v>2022</v>
      </c>
    </row>
    <row r="38" spans="2:8" hidden="1">
      <c r="B38" s="1">
        <v>44684</v>
      </c>
      <c r="C38" t="s">
        <v>9</v>
      </c>
      <c r="D38" t="s">
        <v>19</v>
      </c>
      <c r="E38">
        <v>11</v>
      </c>
      <c r="F38">
        <v>228.69</v>
      </c>
      <c r="G38" t="s">
        <v>22</v>
      </c>
      <c r="H38">
        <f t="shared" si="0"/>
        <v>2022</v>
      </c>
    </row>
    <row r="39" spans="2:8" hidden="1">
      <c r="B39" s="1">
        <v>44729</v>
      </c>
      <c r="C39" t="s">
        <v>15</v>
      </c>
      <c r="D39" t="s">
        <v>23</v>
      </c>
      <c r="E39">
        <v>14</v>
      </c>
      <c r="F39">
        <v>287.52999999999997</v>
      </c>
      <c r="G39" t="s">
        <v>16</v>
      </c>
      <c r="H39">
        <f t="shared" si="0"/>
        <v>2022</v>
      </c>
    </row>
    <row r="40" spans="2:8" hidden="1">
      <c r="B40" s="1">
        <v>44664</v>
      </c>
      <c r="C40" t="s">
        <v>15</v>
      </c>
      <c r="D40" t="s">
        <v>23</v>
      </c>
      <c r="E40">
        <v>14</v>
      </c>
      <c r="F40">
        <v>294.16000000000003</v>
      </c>
      <c r="G40" t="s">
        <v>8</v>
      </c>
      <c r="H40">
        <f t="shared" si="0"/>
        <v>2022</v>
      </c>
    </row>
    <row r="41" spans="2:8" hidden="1">
      <c r="B41" s="1">
        <v>44747</v>
      </c>
      <c r="C41" t="s">
        <v>9</v>
      </c>
      <c r="D41" t="s">
        <v>10</v>
      </c>
      <c r="E41">
        <v>19</v>
      </c>
      <c r="F41">
        <v>217.38</v>
      </c>
      <c r="G41" t="s">
        <v>22</v>
      </c>
      <c r="H41">
        <f t="shared" si="0"/>
        <v>2022</v>
      </c>
    </row>
    <row r="42" spans="2:8" hidden="1">
      <c r="B42" s="1">
        <v>44779</v>
      </c>
      <c r="C42" t="s">
        <v>12</v>
      </c>
      <c r="D42" t="s">
        <v>7</v>
      </c>
      <c r="E42">
        <v>13</v>
      </c>
      <c r="F42">
        <v>232.97</v>
      </c>
      <c r="G42" t="s">
        <v>11</v>
      </c>
      <c r="H42">
        <f t="shared" si="0"/>
        <v>2022</v>
      </c>
    </row>
    <row r="43" spans="2:8" hidden="1">
      <c r="B43" s="1">
        <v>44706</v>
      </c>
      <c r="C43" t="s">
        <v>9</v>
      </c>
      <c r="D43" t="s">
        <v>13</v>
      </c>
      <c r="E43">
        <v>3</v>
      </c>
      <c r="F43">
        <v>34.74</v>
      </c>
      <c r="G43" t="s">
        <v>14</v>
      </c>
      <c r="H43">
        <f t="shared" si="0"/>
        <v>2022</v>
      </c>
    </row>
    <row r="44" spans="2:8" hidden="1">
      <c r="B44" s="1">
        <v>44671</v>
      </c>
      <c r="C44" t="s">
        <v>21</v>
      </c>
      <c r="D44" t="s">
        <v>7</v>
      </c>
      <c r="E44">
        <v>7</v>
      </c>
      <c r="F44">
        <v>152.22999999999999</v>
      </c>
      <c r="G44" t="s">
        <v>16</v>
      </c>
      <c r="H44">
        <f t="shared" si="0"/>
        <v>2022</v>
      </c>
    </row>
    <row r="45" spans="2:8" hidden="1">
      <c r="B45" s="1">
        <v>44696</v>
      </c>
      <c r="C45" t="s">
        <v>18</v>
      </c>
      <c r="D45" t="s">
        <v>24</v>
      </c>
      <c r="E45">
        <v>11</v>
      </c>
      <c r="F45">
        <v>197.71</v>
      </c>
      <c r="G45" t="s">
        <v>14</v>
      </c>
      <c r="H45">
        <f t="shared" si="0"/>
        <v>2022</v>
      </c>
    </row>
    <row r="46" spans="2:8">
      <c r="B46" s="1">
        <v>44615</v>
      </c>
      <c r="C46" t="s">
        <v>6</v>
      </c>
      <c r="D46" t="s">
        <v>7</v>
      </c>
      <c r="E46">
        <v>6</v>
      </c>
      <c r="F46">
        <v>127.61</v>
      </c>
      <c r="G46" t="s">
        <v>16</v>
      </c>
      <c r="H46">
        <f t="shared" si="0"/>
        <v>2022</v>
      </c>
    </row>
    <row r="47" spans="2:8" hidden="1">
      <c r="B47" s="1">
        <v>44710</v>
      </c>
      <c r="C47" t="s">
        <v>9</v>
      </c>
      <c r="D47" t="s">
        <v>19</v>
      </c>
      <c r="E47">
        <v>16</v>
      </c>
      <c r="F47">
        <v>339.11</v>
      </c>
      <c r="G47" t="s">
        <v>14</v>
      </c>
      <c r="H47">
        <f t="shared" si="0"/>
        <v>2022</v>
      </c>
    </row>
    <row r="48" spans="2:8" hidden="1">
      <c r="B48" s="1">
        <v>44630</v>
      </c>
      <c r="C48" t="s">
        <v>9</v>
      </c>
      <c r="D48" t="s">
        <v>20</v>
      </c>
      <c r="E48">
        <v>1</v>
      </c>
      <c r="F48">
        <v>11.64</v>
      </c>
      <c r="G48" t="s">
        <v>14</v>
      </c>
      <c r="H48">
        <f t="shared" si="0"/>
        <v>2022</v>
      </c>
    </row>
    <row r="49" spans="2:8" hidden="1">
      <c r="B49" s="1">
        <v>44690</v>
      </c>
      <c r="C49" t="s">
        <v>9</v>
      </c>
      <c r="D49" t="s">
        <v>19</v>
      </c>
      <c r="E49">
        <v>3</v>
      </c>
      <c r="F49">
        <v>36.54</v>
      </c>
      <c r="G49" t="s">
        <v>8</v>
      </c>
      <c r="H49">
        <f t="shared" si="0"/>
        <v>2022</v>
      </c>
    </row>
    <row r="50" spans="2:8" hidden="1">
      <c r="B50" s="1">
        <v>44753</v>
      </c>
      <c r="C50" t="s">
        <v>12</v>
      </c>
      <c r="D50" t="s">
        <v>20</v>
      </c>
      <c r="E50">
        <v>16</v>
      </c>
      <c r="F50">
        <v>163.57</v>
      </c>
      <c r="G50" t="s">
        <v>16</v>
      </c>
      <c r="H50">
        <f t="shared" si="0"/>
        <v>2022</v>
      </c>
    </row>
    <row r="51" spans="2:8" hidden="1">
      <c r="B51" s="1">
        <v>44662</v>
      </c>
      <c r="C51" t="s">
        <v>12</v>
      </c>
      <c r="D51" t="s">
        <v>19</v>
      </c>
      <c r="E51">
        <v>11</v>
      </c>
      <c r="F51">
        <v>221.08</v>
      </c>
      <c r="G51" t="s">
        <v>22</v>
      </c>
      <c r="H51">
        <f t="shared" si="0"/>
        <v>2022</v>
      </c>
    </row>
    <row r="52" spans="2:8" hidden="1">
      <c r="B52" s="1">
        <v>44563</v>
      </c>
      <c r="C52" t="s">
        <v>15</v>
      </c>
      <c r="D52" t="s">
        <v>10</v>
      </c>
      <c r="E52">
        <v>14</v>
      </c>
      <c r="F52">
        <v>201.96</v>
      </c>
      <c r="G52" t="s">
        <v>16</v>
      </c>
      <c r="H52">
        <f t="shared" si="0"/>
        <v>2022</v>
      </c>
    </row>
    <row r="53" spans="2:8" hidden="1">
      <c r="B53" s="1">
        <v>44734</v>
      </c>
      <c r="C53" t="s">
        <v>12</v>
      </c>
      <c r="D53" t="s">
        <v>23</v>
      </c>
      <c r="E53">
        <v>7</v>
      </c>
      <c r="F53">
        <v>134.24</v>
      </c>
      <c r="G53" t="s">
        <v>14</v>
      </c>
      <c r="H53">
        <f t="shared" si="0"/>
        <v>2022</v>
      </c>
    </row>
    <row r="54" spans="2:8" hidden="1">
      <c r="B54" s="1">
        <v>44783</v>
      </c>
      <c r="C54" t="s">
        <v>21</v>
      </c>
      <c r="D54" t="s">
        <v>20</v>
      </c>
      <c r="E54">
        <v>8</v>
      </c>
      <c r="F54">
        <v>85.5</v>
      </c>
      <c r="G54" t="s">
        <v>11</v>
      </c>
      <c r="H54">
        <f t="shared" si="0"/>
        <v>2022</v>
      </c>
    </row>
    <row r="55" spans="2:8" hidden="1">
      <c r="B55" s="1">
        <v>44563</v>
      </c>
      <c r="C55" t="s">
        <v>6</v>
      </c>
      <c r="D55" t="s">
        <v>24</v>
      </c>
      <c r="E55">
        <v>3</v>
      </c>
      <c r="F55">
        <v>42.45</v>
      </c>
      <c r="G55" t="s">
        <v>22</v>
      </c>
      <c r="H55">
        <f t="shared" si="0"/>
        <v>2022</v>
      </c>
    </row>
    <row r="56" spans="2:8" hidden="1">
      <c r="B56" s="1">
        <v>44745</v>
      </c>
      <c r="C56" t="s">
        <v>18</v>
      </c>
      <c r="D56" t="s">
        <v>24</v>
      </c>
      <c r="E56">
        <v>4</v>
      </c>
      <c r="F56">
        <v>43.61</v>
      </c>
      <c r="G56" t="s">
        <v>14</v>
      </c>
      <c r="H56">
        <f t="shared" si="0"/>
        <v>2022</v>
      </c>
    </row>
    <row r="57" spans="2:8" hidden="1">
      <c r="B57" s="1">
        <v>44641</v>
      </c>
      <c r="C57" t="s">
        <v>15</v>
      </c>
      <c r="D57" t="s">
        <v>23</v>
      </c>
      <c r="E57">
        <v>7</v>
      </c>
      <c r="F57">
        <v>134.53</v>
      </c>
      <c r="G57" t="s">
        <v>14</v>
      </c>
      <c r="H57">
        <f t="shared" si="0"/>
        <v>2022</v>
      </c>
    </row>
    <row r="58" spans="2:8" hidden="1">
      <c r="B58" s="1">
        <v>44667</v>
      </c>
      <c r="C58" t="s">
        <v>6</v>
      </c>
      <c r="D58" t="s">
        <v>7</v>
      </c>
      <c r="E58">
        <v>7</v>
      </c>
      <c r="F58">
        <v>141.33000000000001</v>
      </c>
      <c r="G58" t="s">
        <v>16</v>
      </c>
      <c r="H58">
        <f t="shared" si="0"/>
        <v>2022</v>
      </c>
    </row>
    <row r="59" spans="2:8" hidden="1">
      <c r="B59" s="1">
        <v>44799</v>
      </c>
      <c r="C59" t="s">
        <v>12</v>
      </c>
      <c r="D59" t="s">
        <v>10</v>
      </c>
      <c r="E59">
        <v>18</v>
      </c>
      <c r="F59">
        <v>336.53</v>
      </c>
      <c r="G59" t="s">
        <v>14</v>
      </c>
      <c r="H59">
        <f t="shared" si="0"/>
        <v>2022</v>
      </c>
    </row>
    <row r="60" spans="2:8" hidden="1">
      <c r="B60" s="1">
        <v>44673</v>
      </c>
      <c r="C60" t="s">
        <v>18</v>
      </c>
      <c r="D60" t="s">
        <v>23</v>
      </c>
      <c r="E60">
        <v>20</v>
      </c>
      <c r="F60">
        <v>470.78</v>
      </c>
      <c r="G60" t="s">
        <v>8</v>
      </c>
      <c r="H60">
        <f t="shared" si="0"/>
        <v>2022</v>
      </c>
    </row>
    <row r="61" spans="2:8" hidden="1">
      <c r="B61" s="1">
        <v>44637</v>
      </c>
      <c r="C61" t="s">
        <v>18</v>
      </c>
      <c r="D61" t="s">
        <v>24</v>
      </c>
      <c r="E61">
        <v>14</v>
      </c>
      <c r="F61">
        <v>163.03</v>
      </c>
      <c r="G61" t="s">
        <v>14</v>
      </c>
      <c r="H61">
        <f t="shared" si="0"/>
        <v>2022</v>
      </c>
    </row>
    <row r="62" spans="2:8" hidden="1">
      <c r="B62" s="1">
        <v>44740</v>
      </c>
      <c r="C62" t="s">
        <v>12</v>
      </c>
      <c r="D62" t="s">
        <v>23</v>
      </c>
      <c r="E62">
        <v>7</v>
      </c>
      <c r="F62">
        <v>88.38</v>
      </c>
      <c r="G62" t="s">
        <v>22</v>
      </c>
      <c r="H62">
        <f t="shared" si="0"/>
        <v>2022</v>
      </c>
    </row>
    <row r="63" spans="2:8" hidden="1">
      <c r="B63" s="1">
        <v>44727</v>
      </c>
      <c r="C63" t="s">
        <v>17</v>
      </c>
      <c r="D63" t="s">
        <v>10</v>
      </c>
      <c r="E63">
        <v>11</v>
      </c>
      <c r="F63">
        <v>127.82</v>
      </c>
      <c r="G63" t="s">
        <v>16</v>
      </c>
      <c r="H63">
        <f t="shared" si="0"/>
        <v>2022</v>
      </c>
    </row>
    <row r="64" spans="2:8" hidden="1">
      <c r="B64" s="1">
        <v>44681</v>
      </c>
      <c r="C64" t="s">
        <v>17</v>
      </c>
      <c r="D64" t="s">
        <v>19</v>
      </c>
      <c r="E64">
        <v>2</v>
      </c>
      <c r="F64">
        <v>30.78</v>
      </c>
      <c r="G64" t="s">
        <v>11</v>
      </c>
      <c r="H64">
        <f t="shared" si="0"/>
        <v>2022</v>
      </c>
    </row>
    <row r="65" spans="2:8" hidden="1">
      <c r="B65" s="1">
        <v>44576</v>
      </c>
      <c r="C65" t="s">
        <v>18</v>
      </c>
      <c r="D65" t="s">
        <v>24</v>
      </c>
      <c r="E65">
        <v>11</v>
      </c>
      <c r="F65">
        <v>211.91</v>
      </c>
      <c r="G65" t="s">
        <v>16</v>
      </c>
      <c r="H65">
        <f t="shared" si="0"/>
        <v>2022</v>
      </c>
    </row>
    <row r="66" spans="2:8" hidden="1">
      <c r="B66" s="1">
        <v>44778</v>
      </c>
      <c r="C66" t="s">
        <v>12</v>
      </c>
      <c r="D66" t="s">
        <v>10</v>
      </c>
      <c r="E66">
        <v>2</v>
      </c>
      <c r="F66">
        <v>34.090000000000003</v>
      </c>
      <c r="G66" t="s">
        <v>16</v>
      </c>
      <c r="H66">
        <f t="shared" ref="H66:H129" si="1">YEAR(B66)</f>
        <v>2022</v>
      </c>
    </row>
    <row r="67" spans="2:8" hidden="1">
      <c r="B67" s="1">
        <v>44758</v>
      </c>
      <c r="C67" t="s">
        <v>18</v>
      </c>
      <c r="D67" t="s">
        <v>13</v>
      </c>
      <c r="E67">
        <v>9</v>
      </c>
      <c r="F67">
        <v>158.69</v>
      </c>
      <c r="G67" t="s">
        <v>22</v>
      </c>
      <c r="H67">
        <f t="shared" si="1"/>
        <v>2022</v>
      </c>
    </row>
    <row r="68" spans="2:8" hidden="1">
      <c r="B68" s="1">
        <v>44704</v>
      </c>
      <c r="C68" t="s">
        <v>18</v>
      </c>
      <c r="D68" t="s">
        <v>10</v>
      </c>
      <c r="E68">
        <v>15</v>
      </c>
      <c r="F68">
        <v>355.23</v>
      </c>
      <c r="G68" t="s">
        <v>11</v>
      </c>
      <c r="H68">
        <f t="shared" si="1"/>
        <v>2022</v>
      </c>
    </row>
    <row r="69" spans="2:8" hidden="1">
      <c r="B69" s="1">
        <v>44670</v>
      </c>
      <c r="C69" t="s">
        <v>9</v>
      </c>
      <c r="D69" t="s">
        <v>13</v>
      </c>
      <c r="E69">
        <v>9</v>
      </c>
      <c r="F69">
        <v>202.58</v>
      </c>
      <c r="G69" t="s">
        <v>11</v>
      </c>
      <c r="H69">
        <f t="shared" si="1"/>
        <v>2022</v>
      </c>
    </row>
    <row r="70" spans="2:8" hidden="1">
      <c r="B70" s="1">
        <v>44778</v>
      </c>
      <c r="C70" t="s">
        <v>21</v>
      </c>
      <c r="D70" t="s">
        <v>10</v>
      </c>
      <c r="E70">
        <v>10</v>
      </c>
      <c r="F70">
        <v>245.9</v>
      </c>
      <c r="G70" t="s">
        <v>16</v>
      </c>
      <c r="H70">
        <f t="shared" si="1"/>
        <v>2022</v>
      </c>
    </row>
    <row r="71" spans="2:8" hidden="1">
      <c r="B71" s="1">
        <v>44804</v>
      </c>
      <c r="C71" t="s">
        <v>18</v>
      </c>
      <c r="D71" t="s">
        <v>13</v>
      </c>
      <c r="E71">
        <v>12</v>
      </c>
      <c r="F71">
        <v>270.74</v>
      </c>
      <c r="G71" t="s">
        <v>8</v>
      </c>
      <c r="H71">
        <f t="shared" si="1"/>
        <v>2022</v>
      </c>
    </row>
    <row r="72" spans="2:8" hidden="1">
      <c r="B72" s="1">
        <v>44796</v>
      </c>
      <c r="C72" t="s">
        <v>17</v>
      </c>
      <c r="D72" t="s">
        <v>13</v>
      </c>
      <c r="E72">
        <v>5</v>
      </c>
      <c r="F72">
        <v>88.84</v>
      </c>
      <c r="G72" t="s">
        <v>22</v>
      </c>
      <c r="H72">
        <f t="shared" si="1"/>
        <v>2022</v>
      </c>
    </row>
    <row r="73" spans="2:8" hidden="1">
      <c r="B73" s="1">
        <v>44627</v>
      </c>
      <c r="C73" t="s">
        <v>12</v>
      </c>
      <c r="D73" t="s">
        <v>23</v>
      </c>
      <c r="E73">
        <v>20</v>
      </c>
      <c r="F73">
        <v>433.81</v>
      </c>
      <c r="G73" t="s">
        <v>16</v>
      </c>
      <c r="H73">
        <f t="shared" si="1"/>
        <v>2022</v>
      </c>
    </row>
    <row r="74" spans="2:8" hidden="1">
      <c r="B74" s="1">
        <v>44767</v>
      </c>
      <c r="C74" t="s">
        <v>9</v>
      </c>
      <c r="D74" t="s">
        <v>7</v>
      </c>
      <c r="E74">
        <v>2</v>
      </c>
      <c r="F74">
        <v>29.63</v>
      </c>
      <c r="G74" t="s">
        <v>8</v>
      </c>
      <c r="H74">
        <f t="shared" si="1"/>
        <v>2022</v>
      </c>
    </row>
    <row r="75" spans="2:8" hidden="1">
      <c r="B75" s="1">
        <v>44601</v>
      </c>
      <c r="C75" t="s">
        <v>17</v>
      </c>
      <c r="D75" t="s">
        <v>23</v>
      </c>
      <c r="E75">
        <v>15</v>
      </c>
      <c r="F75">
        <v>334.05</v>
      </c>
      <c r="G75" t="s">
        <v>11</v>
      </c>
      <c r="H75">
        <f t="shared" si="1"/>
        <v>2022</v>
      </c>
    </row>
    <row r="76" spans="2:8" hidden="1">
      <c r="B76" s="1">
        <v>44620</v>
      </c>
      <c r="C76" t="s">
        <v>18</v>
      </c>
      <c r="D76" t="s">
        <v>13</v>
      </c>
      <c r="E76">
        <v>4</v>
      </c>
      <c r="F76">
        <v>52.1</v>
      </c>
      <c r="G76" t="s">
        <v>22</v>
      </c>
      <c r="H76">
        <f t="shared" si="1"/>
        <v>2022</v>
      </c>
    </row>
    <row r="77" spans="2:8" hidden="1">
      <c r="B77" s="1">
        <v>44704</v>
      </c>
      <c r="C77" t="s">
        <v>9</v>
      </c>
      <c r="D77" t="s">
        <v>13</v>
      </c>
      <c r="E77">
        <v>6</v>
      </c>
      <c r="F77">
        <v>51.97</v>
      </c>
      <c r="G77" t="s">
        <v>14</v>
      </c>
      <c r="H77">
        <f t="shared" si="1"/>
        <v>2022</v>
      </c>
    </row>
    <row r="78" spans="2:8" hidden="1">
      <c r="B78" s="1">
        <v>44773</v>
      </c>
      <c r="C78" t="s">
        <v>9</v>
      </c>
      <c r="D78" t="s">
        <v>19</v>
      </c>
      <c r="E78">
        <v>14</v>
      </c>
      <c r="F78">
        <v>324.2</v>
      </c>
      <c r="G78" t="s">
        <v>16</v>
      </c>
      <c r="H78">
        <f t="shared" si="1"/>
        <v>2022</v>
      </c>
    </row>
    <row r="79" spans="2:8" hidden="1">
      <c r="B79" s="1">
        <v>44707</v>
      </c>
      <c r="C79" t="s">
        <v>18</v>
      </c>
      <c r="D79" t="s">
        <v>24</v>
      </c>
      <c r="E79">
        <v>9</v>
      </c>
      <c r="F79">
        <v>155.31</v>
      </c>
      <c r="G79" t="s">
        <v>14</v>
      </c>
      <c r="H79">
        <f t="shared" si="1"/>
        <v>2022</v>
      </c>
    </row>
    <row r="80" spans="2:8" hidden="1">
      <c r="B80" s="1">
        <v>44617</v>
      </c>
      <c r="C80" t="s">
        <v>18</v>
      </c>
      <c r="D80" t="s">
        <v>19</v>
      </c>
      <c r="E80">
        <v>13</v>
      </c>
      <c r="F80">
        <v>205.85</v>
      </c>
      <c r="G80" t="s">
        <v>14</v>
      </c>
      <c r="H80">
        <f t="shared" si="1"/>
        <v>2022</v>
      </c>
    </row>
    <row r="81" spans="2:8" hidden="1">
      <c r="B81" s="1">
        <v>44656</v>
      </c>
      <c r="C81" t="s">
        <v>6</v>
      </c>
      <c r="D81" t="s">
        <v>7</v>
      </c>
      <c r="E81">
        <v>4</v>
      </c>
      <c r="F81">
        <v>64.28</v>
      </c>
      <c r="G81" t="s">
        <v>14</v>
      </c>
      <c r="H81">
        <f t="shared" si="1"/>
        <v>2022</v>
      </c>
    </row>
    <row r="82" spans="2:8" hidden="1">
      <c r="B82" s="1">
        <v>44733</v>
      </c>
      <c r="C82" t="s">
        <v>21</v>
      </c>
      <c r="D82" t="s">
        <v>19</v>
      </c>
      <c r="E82">
        <v>1</v>
      </c>
      <c r="F82">
        <v>8.09</v>
      </c>
      <c r="G82" t="s">
        <v>22</v>
      </c>
      <c r="H82">
        <f t="shared" si="1"/>
        <v>2022</v>
      </c>
    </row>
    <row r="83" spans="2:8" hidden="1">
      <c r="B83" s="1">
        <v>44775</v>
      </c>
      <c r="C83" t="s">
        <v>15</v>
      </c>
      <c r="D83" t="s">
        <v>13</v>
      </c>
      <c r="E83">
        <v>10</v>
      </c>
      <c r="F83">
        <v>213.75</v>
      </c>
      <c r="G83" t="s">
        <v>11</v>
      </c>
      <c r="H83">
        <f t="shared" si="1"/>
        <v>2022</v>
      </c>
    </row>
    <row r="84" spans="2:8" hidden="1">
      <c r="B84" s="1">
        <v>44671</v>
      </c>
      <c r="C84" t="s">
        <v>6</v>
      </c>
      <c r="D84" t="s">
        <v>23</v>
      </c>
      <c r="E84">
        <v>18</v>
      </c>
      <c r="F84">
        <v>244.76</v>
      </c>
      <c r="G84" t="s">
        <v>22</v>
      </c>
      <c r="H84">
        <f t="shared" si="1"/>
        <v>2022</v>
      </c>
    </row>
    <row r="85" spans="2:8" hidden="1">
      <c r="B85" s="1">
        <v>44678</v>
      </c>
      <c r="C85" t="s">
        <v>9</v>
      </c>
      <c r="D85" t="s">
        <v>10</v>
      </c>
      <c r="E85">
        <v>19</v>
      </c>
      <c r="F85">
        <v>316.79000000000002</v>
      </c>
      <c r="G85" t="s">
        <v>22</v>
      </c>
      <c r="H85">
        <f t="shared" si="1"/>
        <v>2022</v>
      </c>
    </row>
    <row r="86" spans="2:8" hidden="1">
      <c r="B86" s="1">
        <v>44742</v>
      </c>
      <c r="C86" t="s">
        <v>21</v>
      </c>
      <c r="D86" t="s">
        <v>10</v>
      </c>
      <c r="E86">
        <v>20</v>
      </c>
      <c r="F86">
        <v>219.72</v>
      </c>
      <c r="G86" t="s">
        <v>16</v>
      </c>
      <c r="H86">
        <f t="shared" si="1"/>
        <v>2022</v>
      </c>
    </row>
    <row r="87" spans="2:8" hidden="1">
      <c r="B87" s="1">
        <v>44627</v>
      </c>
      <c r="C87" t="s">
        <v>15</v>
      </c>
      <c r="D87" t="s">
        <v>13</v>
      </c>
      <c r="E87">
        <v>18</v>
      </c>
      <c r="F87">
        <v>371.23</v>
      </c>
      <c r="G87" t="s">
        <v>22</v>
      </c>
      <c r="H87">
        <f t="shared" si="1"/>
        <v>2022</v>
      </c>
    </row>
    <row r="88" spans="2:8" hidden="1">
      <c r="B88" s="1">
        <v>44702</v>
      </c>
      <c r="C88" t="s">
        <v>15</v>
      </c>
      <c r="D88" t="s">
        <v>19</v>
      </c>
      <c r="E88">
        <v>12</v>
      </c>
      <c r="F88">
        <v>242.44</v>
      </c>
      <c r="G88" t="s">
        <v>16</v>
      </c>
      <c r="H88">
        <f t="shared" si="1"/>
        <v>2022</v>
      </c>
    </row>
    <row r="89" spans="2:8" hidden="1">
      <c r="B89" s="1">
        <v>44745</v>
      </c>
      <c r="C89" t="s">
        <v>12</v>
      </c>
      <c r="D89" t="s">
        <v>19</v>
      </c>
      <c r="E89">
        <v>18</v>
      </c>
      <c r="F89">
        <v>214.09</v>
      </c>
      <c r="G89" t="s">
        <v>14</v>
      </c>
      <c r="H89">
        <f t="shared" si="1"/>
        <v>2022</v>
      </c>
    </row>
    <row r="90" spans="2:8" hidden="1">
      <c r="B90" s="1">
        <v>44633</v>
      </c>
      <c r="C90" t="s">
        <v>9</v>
      </c>
      <c r="D90" t="s">
        <v>24</v>
      </c>
      <c r="E90">
        <v>20</v>
      </c>
      <c r="F90">
        <v>183.48</v>
      </c>
      <c r="G90" t="s">
        <v>22</v>
      </c>
      <c r="H90">
        <f t="shared" si="1"/>
        <v>2022</v>
      </c>
    </row>
    <row r="91" spans="2:8" hidden="1">
      <c r="B91" s="1">
        <v>44722</v>
      </c>
      <c r="C91" t="s">
        <v>6</v>
      </c>
      <c r="D91" t="s">
        <v>23</v>
      </c>
      <c r="E91">
        <v>11</v>
      </c>
      <c r="F91">
        <v>272.97000000000003</v>
      </c>
      <c r="G91" t="s">
        <v>8</v>
      </c>
      <c r="H91">
        <f t="shared" si="1"/>
        <v>2022</v>
      </c>
    </row>
    <row r="92" spans="2:8" hidden="1">
      <c r="B92" s="1">
        <v>44597</v>
      </c>
      <c r="C92" t="s">
        <v>12</v>
      </c>
      <c r="D92" t="s">
        <v>13</v>
      </c>
      <c r="E92">
        <v>13</v>
      </c>
      <c r="F92">
        <v>129.30000000000001</v>
      </c>
      <c r="G92" t="s">
        <v>14</v>
      </c>
      <c r="H92">
        <f t="shared" si="1"/>
        <v>2022</v>
      </c>
    </row>
    <row r="93" spans="2:8" hidden="1">
      <c r="B93" s="1">
        <v>44704</v>
      </c>
      <c r="C93" t="s">
        <v>15</v>
      </c>
      <c r="D93" t="s">
        <v>13</v>
      </c>
      <c r="E93">
        <v>5</v>
      </c>
      <c r="F93">
        <v>59.7</v>
      </c>
      <c r="G93" t="s">
        <v>14</v>
      </c>
      <c r="H93">
        <f t="shared" si="1"/>
        <v>2022</v>
      </c>
    </row>
    <row r="94" spans="2:8" hidden="1">
      <c r="B94" s="1">
        <v>44784</v>
      </c>
      <c r="C94" t="s">
        <v>12</v>
      </c>
      <c r="D94" t="s">
        <v>19</v>
      </c>
      <c r="E94">
        <v>20</v>
      </c>
      <c r="F94">
        <v>210.82</v>
      </c>
      <c r="G94" t="s">
        <v>14</v>
      </c>
      <c r="H94">
        <f t="shared" si="1"/>
        <v>2022</v>
      </c>
    </row>
    <row r="95" spans="2:8" hidden="1">
      <c r="B95" s="1">
        <v>44633</v>
      </c>
      <c r="C95" t="s">
        <v>6</v>
      </c>
      <c r="D95" t="s">
        <v>7</v>
      </c>
      <c r="E95">
        <v>6</v>
      </c>
      <c r="F95">
        <v>115.79</v>
      </c>
      <c r="G95" t="s">
        <v>11</v>
      </c>
      <c r="H95">
        <f t="shared" si="1"/>
        <v>2022</v>
      </c>
    </row>
    <row r="96" spans="2:8" hidden="1">
      <c r="B96" s="1">
        <v>44718</v>
      </c>
      <c r="C96" t="s">
        <v>9</v>
      </c>
      <c r="D96" t="s">
        <v>23</v>
      </c>
      <c r="E96">
        <v>18</v>
      </c>
      <c r="F96">
        <v>322.41000000000003</v>
      </c>
      <c r="G96" t="s">
        <v>14</v>
      </c>
      <c r="H96">
        <f t="shared" si="1"/>
        <v>2022</v>
      </c>
    </row>
    <row r="97" spans="2:8" hidden="1">
      <c r="B97" s="1">
        <v>44762</v>
      </c>
      <c r="C97" t="s">
        <v>9</v>
      </c>
      <c r="D97" t="s">
        <v>7</v>
      </c>
      <c r="E97">
        <v>4</v>
      </c>
      <c r="F97">
        <v>73.39</v>
      </c>
      <c r="G97" t="s">
        <v>14</v>
      </c>
      <c r="H97">
        <f t="shared" si="1"/>
        <v>2022</v>
      </c>
    </row>
    <row r="98" spans="2:8" hidden="1">
      <c r="B98" s="1">
        <v>44718</v>
      </c>
      <c r="C98" t="s">
        <v>18</v>
      </c>
      <c r="D98" t="s">
        <v>10</v>
      </c>
      <c r="E98">
        <v>4</v>
      </c>
      <c r="F98">
        <v>50.12</v>
      </c>
      <c r="G98" t="s">
        <v>16</v>
      </c>
      <c r="H98">
        <f t="shared" si="1"/>
        <v>2022</v>
      </c>
    </row>
    <row r="99" spans="2:8" hidden="1">
      <c r="B99" s="1">
        <v>44619</v>
      </c>
      <c r="C99" t="s">
        <v>21</v>
      </c>
      <c r="D99" t="s">
        <v>24</v>
      </c>
      <c r="E99">
        <v>3</v>
      </c>
      <c r="F99">
        <v>45.16</v>
      </c>
      <c r="G99" t="s">
        <v>14</v>
      </c>
      <c r="H99">
        <f t="shared" si="1"/>
        <v>2022</v>
      </c>
    </row>
    <row r="100" spans="2:8" hidden="1">
      <c r="B100" s="1">
        <v>44801</v>
      </c>
      <c r="C100" t="s">
        <v>15</v>
      </c>
      <c r="D100" t="s">
        <v>7</v>
      </c>
      <c r="E100">
        <v>16</v>
      </c>
      <c r="F100">
        <v>212.81</v>
      </c>
      <c r="G100" t="s">
        <v>11</v>
      </c>
      <c r="H100">
        <f t="shared" si="1"/>
        <v>2022</v>
      </c>
    </row>
    <row r="101" spans="2:8" hidden="1">
      <c r="B101" s="1">
        <v>44693</v>
      </c>
      <c r="C101" t="s">
        <v>21</v>
      </c>
      <c r="D101" t="s">
        <v>19</v>
      </c>
      <c r="E101">
        <v>19</v>
      </c>
      <c r="F101">
        <v>192.59</v>
      </c>
      <c r="G101" t="s">
        <v>16</v>
      </c>
      <c r="H101">
        <f t="shared" si="1"/>
        <v>2022</v>
      </c>
    </row>
    <row r="102" spans="2:8" hidden="1">
      <c r="B102" s="1">
        <v>44715</v>
      </c>
      <c r="C102" t="s">
        <v>21</v>
      </c>
      <c r="D102" t="s">
        <v>10</v>
      </c>
      <c r="E102">
        <v>2</v>
      </c>
      <c r="F102">
        <v>36.56</v>
      </c>
      <c r="G102" t="s">
        <v>16</v>
      </c>
      <c r="H102">
        <f t="shared" si="1"/>
        <v>2022</v>
      </c>
    </row>
    <row r="103" spans="2:8" hidden="1">
      <c r="B103" s="1">
        <v>44631</v>
      </c>
      <c r="C103" t="s">
        <v>12</v>
      </c>
      <c r="D103" t="s">
        <v>19</v>
      </c>
      <c r="E103">
        <v>15</v>
      </c>
      <c r="F103">
        <v>244.66</v>
      </c>
      <c r="G103" t="s">
        <v>11</v>
      </c>
      <c r="H103">
        <f t="shared" si="1"/>
        <v>2022</v>
      </c>
    </row>
    <row r="104" spans="2:8" hidden="1">
      <c r="B104" s="1">
        <v>44709</v>
      </c>
      <c r="C104" t="s">
        <v>15</v>
      </c>
      <c r="D104" t="s">
        <v>20</v>
      </c>
      <c r="E104">
        <v>17</v>
      </c>
      <c r="F104">
        <v>281.12</v>
      </c>
      <c r="G104" t="s">
        <v>14</v>
      </c>
      <c r="H104">
        <f t="shared" si="1"/>
        <v>2022</v>
      </c>
    </row>
    <row r="105" spans="2:8" hidden="1">
      <c r="B105" s="1">
        <v>44571</v>
      </c>
      <c r="C105" t="s">
        <v>18</v>
      </c>
      <c r="D105" t="s">
        <v>24</v>
      </c>
      <c r="E105">
        <v>19</v>
      </c>
      <c r="F105">
        <v>161.94999999999999</v>
      </c>
      <c r="G105" t="s">
        <v>14</v>
      </c>
      <c r="H105">
        <f t="shared" si="1"/>
        <v>2022</v>
      </c>
    </row>
    <row r="106" spans="2:8" hidden="1">
      <c r="B106" s="1">
        <v>44582</v>
      </c>
      <c r="C106" t="s">
        <v>6</v>
      </c>
      <c r="D106" t="s">
        <v>13</v>
      </c>
      <c r="E106">
        <v>9</v>
      </c>
      <c r="F106">
        <v>180.5</v>
      </c>
      <c r="G106" t="s">
        <v>11</v>
      </c>
      <c r="H106">
        <f t="shared" si="1"/>
        <v>2022</v>
      </c>
    </row>
    <row r="107" spans="2:8" hidden="1">
      <c r="B107" s="1">
        <v>44701</v>
      </c>
      <c r="C107" t="s">
        <v>17</v>
      </c>
      <c r="D107" t="s">
        <v>10</v>
      </c>
      <c r="E107">
        <v>18</v>
      </c>
      <c r="F107">
        <v>426.02</v>
      </c>
      <c r="G107" t="s">
        <v>14</v>
      </c>
      <c r="H107">
        <f t="shared" si="1"/>
        <v>2022</v>
      </c>
    </row>
    <row r="108" spans="2:8" hidden="1">
      <c r="B108" s="1">
        <v>44751</v>
      </c>
      <c r="C108" t="s">
        <v>21</v>
      </c>
      <c r="D108" t="s">
        <v>19</v>
      </c>
      <c r="E108">
        <v>10</v>
      </c>
      <c r="F108">
        <v>101.77</v>
      </c>
      <c r="G108" t="s">
        <v>16</v>
      </c>
      <c r="H108">
        <f t="shared" si="1"/>
        <v>2022</v>
      </c>
    </row>
    <row r="109" spans="2:8" hidden="1">
      <c r="B109" s="1">
        <v>44731</v>
      </c>
      <c r="C109" t="s">
        <v>17</v>
      </c>
      <c r="D109" t="s">
        <v>19</v>
      </c>
      <c r="E109">
        <v>12</v>
      </c>
      <c r="F109">
        <v>132.47999999999999</v>
      </c>
      <c r="G109" t="s">
        <v>11</v>
      </c>
      <c r="H109">
        <f t="shared" si="1"/>
        <v>2022</v>
      </c>
    </row>
    <row r="110" spans="2:8" hidden="1">
      <c r="B110" s="1">
        <v>44712</v>
      </c>
      <c r="C110" t="s">
        <v>17</v>
      </c>
      <c r="D110" t="s">
        <v>7</v>
      </c>
      <c r="E110">
        <v>9</v>
      </c>
      <c r="F110">
        <v>82.8</v>
      </c>
      <c r="G110" t="s">
        <v>8</v>
      </c>
      <c r="H110">
        <f t="shared" si="1"/>
        <v>2022</v>
      </c>
    </row>
    <row r="111" spans="2:8" hidden="1">
      <c r="B111" s="1">
        <v>44704</v>
      </c>
      <c r="C111" t="s">
        <v>17</v>
      </c>
      <c r="D111" t="s">
        <v>19</v>
      </c>
      <c r="E111">
        <v>1</v>
      </c>
      <c r="F111">
        <v>8.51</v>
      </c>
      <c r="G111" t="s">
        <v>11</v>
      </c>
      <c r="H111">
        <f t="shared" si="1"/>
        <v>2022</v>
      </c>
    </row>
    <row r="112" spans="2:8" hidden="1">
      <c r="B112" s="1">
        <v>44568</v>
      </c>
      <c r="C112" t="s">
        <v>15</v>
      </c>
      <c r="D112" t="s">
        <v>19</v>
      </c>
      <c r="E112">
        <v>11</v>
      </c>
      <c r="F112">
        <v>90.19</v>
      </c>
      <c r="G112" t="s">
        <v>16</v>
      </c>
      <c r="H112">
        <f t="shared" si="1"/>
        <v>2022</v>
      </c>
    </row>
    <row r="113" spans="2:8" hidden="1">
      <c r="B113" s="1">
        <v>44773</v>
      </c>
      <c r="C113" t="s">
        <v>18</v>
      </c>
      <c r="D113" t="s">
        <v>13</v>
      </c>
      <c r="E113">
        <v>6</v>
      </c>
      <c r="F113">
        <v>60.03</v>
      </c>
      <c r="G113" t="s">
        <v>14</v>
      </c>
      <c r="H113">
        <f t="shared" si="1"/>
        <v>2022</v>
      </c>
    </row>
    <row r="114" spans="2:8" hidden="1">
      <c r="B114" s="1">
        <v>44705</v>
      </c>
      <c r="C114" t="s">
        <v>18</v>
      </c>
      <c r="D114" t="s">
        <v>20</v>
      </c>
      <c r="E114">
        <v>8</v>
      </c>
      <c r="F114">
        <v>142.54</v>
      </c>
      <c r="G114" t="s">
        <v>22</v>
      </c>
      <c r="H114">
        <f t="shared" si="1"/>
        <v>2022</v>
      </c>
    </row>
    <row r="115" spans="2:8" hidden="1">
      <c r="B115" s="1">
        <v>44674</v>
      </c>
      <c r="C115" t="s">
        <v>21</v>
      </c>
      <c r="D115" t="s">
        <v>10</v>
      </c>
      <c r="E115">
        <v>4</v>
      </c>
      <c r="F115">
        <v>96.7</v>
      </c>
      <c r="G115" t="s">
        <v>22</v>
      </c>
      <c r="H115">
        <f t="shared" si="1"/>
        <v>2022</v>
      </c>
    </row>
    <row r="116" spans="2:8" hidden="1">
      <c r="B116" s="1">
        <v>44638</v>
      </c>
      <c r="C116" t="s">
        <v>21</v>
      </c>
      <c r="D116" t="s">
        <v>13</v>
      </c>
      <c r="E116">
        <v>15</v>
      </c>
      <c r="F116">
        <v>151.63999999999999</v>
      </c>
      <c r="G116" t="s">
        <v>8</v>
      </c>
      <c r="H116">
        <f t="shared" si="1"/>
        <v>2022</v>
      </c>
    </row>
    <row r="117" spans="2:8" hidden="1">
      <c r="B117" s="1">
        <v>44798</v>
      </c>
      <c r="C117" t="s">
        <v>9</v>
      </c>
      <c r="D117" t="s">
        <v>7</v>
      </c>
      <c r="E117">
        <v>15</v>
      </c>
      <c r="F117">
        <v>197.97</v>
      </c>
      <c r="G117" t="s">
        <v>11</v>
      </c>
      <c r="H117">
        <f t="shared" si="1"/>
        <v>2022</v>
      </c>
    </row>
    <row r="118" spans="2:8" hidden="1">
      <c r="B118" s="1">
        <v>44624</v>
      </c>
      <c r="C118" t="s">
        <v>21</v>
      </c>
      <c r="D118" t="s">
        <v>7</v>
      </c>
      <c r="E118">
        <v>9</v>
      </c>
      <c r="F118">
        <v>182.35</v>
      </c>
      <c r="G118" t="s">
        <v>22</v>
      </c>
      <c r="H118">
        <f t="shared" si="1"/>
        <v>2022</v>
      </c>
    </row>
    <row r="119" spans="2:8" hidden="1">
      <c r="B119" s="1">
        <v>44644</v>
      </c>
      <c r="C119" t="s">
        <v>15</v>
      </c>
      <c r="D119" t="s">
        <v>7</v>
      </c>
      <c r="E119">
        <v>19</v>
      </c>
      <c r="F119">
        <v>443.56</v>
      </c>
      <c r="G119" t="s">
        <v>11</v>
      </c>
      <c r="H119">
        <f t="shared" si="1"/>
        <v>2022</v>
      </c>
    </row>
    <row r="120" spans="2:8" hidden="1">
      <c r="B120" s="1">
        <v>44647</v>
      </c>
      <c r="C120" t="s">
        <v>9</v>
      </c>
      <c r="D120" t="s">
        <v>23</v>
      </c>
      <c r="E120">
        <v>9</v>
      </c>
      <c r="F120">
        <v>89.01</v>
      </c>
      <c r="G120" t="s">
        <v>11</v>
      </c>
      <c r="H120">
        <f t="shared" si="1"/>
        <v>2022</v>
      </c>
    </row>
    <row r="121" spans="2:8" hidden="1">
      <c r="B121" s="1">
        <v>44699</v>
      </c>
      <c r="C121" t="s">
        <v>18</v>
      </c>
      <c r="D121" t="s">
        <v>24</v>
      </c>
      <c r="E121">
        <v>1</v>
      </c>
      <c r="F121">
        <v>10.32</v>
      </c>
      <c r="G121" t="s">
        <v>16</v>
      </c>
      <c r="H121">
        <f t="shared" si="1"/>
        <v>2022</v>
      </c>
    </row>
    <row r="122" spans="2:8" hidden="1">
      <c r="B122" s="1">
        <v>44695</v>
      </c>
      <c r="C122" t="s">
        <v>21</v>
      </c>
      <c r="D122" t="s">
        <v>20</v>
      </c>
      <c r="E122">
        <v>20</v>
      </c>
      <c r="F122">
        <v>414.06</v>
      </c>
      <c r="G122" t="s">
        <v>16</v>
      </c>
      <c r="H122">
        <f t="shared" si="1"/>
        <v>2022</v>
      </c>
    </row>
    <row r="123" spans="2:8" hidden="1">
      <c r="B123" s="1">
        <v>44600</v>
      </c>
      <c r="C123" t="s">
        <v>12</v>
      </c>
      <c r="D123" t="s">
        <v>20</v>
      </c>
      <c r="E123">
        <v>10</v>
      </c>
      <c r="F123">
        <v>159.21</v>
      </c>
      <c r="G123" t="s">
        <v>8</v>
      </c>
      <c r="H123">
        <f t="shared" si="1"/>
        <v>2022</v>
      </c>
    </row>
    <row r="124" spans="2:8">
      <c r="B124" s="1">
        <v>44612</v>
      </c>
      <c r="C124" t="s">
        <v>17</v>
      </c>
      <c r="D124" t="s">
        <v>7</v>
      </c>
      <c r="E124">
        <v>18</v>
      </c>
      <c r="F124">
        <v>195.1</v>
      </c>
      <c r="G124" t="s">
        <v>11</v>
      </c>
      <c r="H124">
        <f t="shared" si="1"/>
        <v>2022</v>
      </c>
    </row>
    <row r="125" spans="2:8" hidden="1">
      <c r="B125" s="1">
        <v>44794</v>
      </c>
      <c r="C125" t="s">
        <v>18</v>
      </c>
      <c r="D125" t="s">
        <v>24</v>
      </c>
      <c r="E125">
        <v>19</v>
      </c>
      <c r="F125">
        <v>386.61</v>
      </c>
      <c r="G125" t="s">
        <v>16</v>
      </c>
      <c r="H125">
        <f t="shared" si="1"/>
        <v>2022</v>
      </c>
    </row>
    <row r="126" spans="2:8" hidden="1">
      <c r="B126" s="1">
        <v>44770</v>
      </c>
      <c r="C126" t="s">
        <v>15</v>
      </c>
      <c r="D126" t="s">
        <v>13</v>
      </c>
      <c r="E126">
        <v>1</v>
      </c>
      <c r="F126">
        <v>22.99</v>
      </c>
      <c r="G126" t="s">
        <v>16</v>
      </c>
      <c r="H126">
        <f t="shared" si="1"/>
        <v>2022</v>
      </c>
    </row>
    <row r="127" spans="2:8" hidden="1">
      <c r="B127" s="1">
        <v>44710</v>
      </c>
      <c r="C127" t="s">
        <v>12</v>
      </c>
      <c r="D127" t="s">
        <v>19</v>
      </c>
      <c r="E127">
        <v>17</v>
      </c>
      <c r="F127">
        <v>290.44</v>
      </c>
      <c r="G127" t="s">
        <v>14</v>
      </c>
      <c r="H127">
        <f t="shared" si="1"/>
        <v>2022</v>
      </c>
    </row>
    <row r="128" spans="2:8" hidden="1">
      <c r="B128" s="1">
        <v>44700</v>
      </c>
      <c r="C128" t="s">
        <v>6</v>
      </c>
      <c r="D128" t="s">
        <v>24</v>
      </c>
      <c r="E128">
        <v>5</v>
      </c>
      <c r="F128">
        <v>79.459999999999994</v>
      </c>
      <c r="G128" t="s">
        <v>22</v>
      </c>
      <c r="H128">
        <f t="shared" si="1"/>
        <v>2022</v>
      </c>
    </row>
    <row r="129" spans="2:8" hidden="1">
      <c r="B129" s="1">
        <v>44787</v>
      </c>
      <c r="C129" t="s">
        <v>17</v>
      </c>
      <c r="D129" t="s">
        <v>10</v>
      </c>
      <c r="E129">
        <v>2</v>
      </c>
      <c r="F129">
        <v>48.19</v>
      </c>
      <c r="G129" t="s">
        <v>14</v>
      </c>
      <c r="H129">
        <f t="shared" si="1"/>
        <v>2022</v>
      </c>
    </row>
    <row r="130" spans="2:8" hidden="1">
      <c r="B130" s="1">
        <v>44571</v>
      </c>
      <c r="C130" t="s">
        <v>12</v>
      </c>
      <c r="D130" t="s">
        <v>20</v>
      </c>
      <c r="E130">
        <v>19</v>
      </c>
      <c r="F130">
        <v>166.83</v>
      </c>
      <c r="G130" t="s">
        <v>22</v>
      </c>
      <c r="H130">
        <f t="shared" ref="H130:H193" si="2">YEAR(B130)</f>
        <v>2022</v>
      </c>
    </row>
    <row r="131" spans="2:8" hidden="1">
      <c r="B131" s="1">
        <v>44654</v>
      </c>
      <c r="C131" t="s">
        <v>15</v>
      </c>
      <c r="D131" t="s">
        <v>23</v>
      </c>
      <c r="E131">
        <v>3</v>
      </c>
      <c r="F131">
        <v>40.32</v>
      </c>
      <c r="G131" t="s">
        <v>16</v>
      </c>
      <c r="H131">
        <f t="shared" si="2"/>
        <v>2022</v>
      </c>
    </row>
    <row r="132" spans="2:8" hidden="1">
      <c r="B132" s="1">
        <v>44739</v>
      </c>
      <c r="C132" t="s">
        <v>21</v>
      </c>
      <c r="D132" t="s">
        <v>23</v>
      </c>
      <c r="E132">
        <v>15</v>
      </c>
      <c r="F132">
        <v>176.45</v>
      </c>
      <c r="G132" t="s">
        <v>16</v>
      </c>
      <c r="H132">
        <f t="shared" si="2"/>
        <v>2022</v>
      </c>
    </row>
    <row r="133" spans="2:8" hidden="1">
      <c r="B133" s="1">
        <v>44646</v>
      </c>
      <c r="C133" t="s">
        <v>9</v>
      </c>
      <c r="D133" t="s">
        <v>10</v>
      </c>
      <c r="E133">
        <v>1</v>
      </c>
      <c r="F133">
        <v>9.4</v>
      </c>
      <c r="G133" t="s">
        <v>14</v>
      </c>
      <c r="H133">
        <f t="shared" si="2"/>
        <v>2022</v>
      </c>
    </row>
    <row r="134" spans="2:8" hidden="1">
      <c r="B134" s="1">
        <v>44590</v>
      </c>
      <c r="C134" t="s">
        <v>21</v>
      </c>
      <c r="D134" t="s">
        <v>23</v>
      </c>
      <c r="E134">
        <v>11</v>
      </c>
      <c r="F134">
        <v>176.73</v>
      </c>
      <c r="G134" t="s">
        <v>8</v>
      </c>
      <c r="H134">
        <f t="shared" si="2"/>
        <v>2022</v>
      </c>
    </row>
    <row r="135" spans="2:8" hidden="1">
      <c r="B135" s="1">
        <v>44630</v>
      </c>
      <c r="C135" t="s">
        <v>6</v>
      </c>
      <c r="D135" t="s">
        <v>7</v>
      </c>
      <c r="E135">
        <v>16</v>
      </c>
      <c r="F135">
        <v>235.83</v>
      </c>
      <c r="G135" t="s">
        <v>11</v>
      </c>
      <c r="H135">
        <f t="shared" si="2"/>
        <v>2022</v>
      </c>
    </row>
    <row r="136" spans="2:8" hidden="1">
      <c r="B136" s="1">
        <v>44600</v>
      </c>
      <c r="C136" t="s">
        <v>15</v>
      </c>
      <c r="D136" t="s">
        <v>24</v>
      </c>
      <c r="E136">
        <v>11</v>
      </c>
      <c r="F136">
        <v>106.76</v>
      </c>
      <c r="G136" t="s">
        <v>11</v>
      </c>
      <c r="H136">
        <f t="shared" si="2"/>
        <v>2022</v>
      </c>
    </row>
    <row r="137" spans="2:8" hidden="1">
      <c r="B137" s="1">
        <v>44766</v>
      </c>
      <c r="C137" t="s">
        <v>12</v>
      </c>
      <c r="D137" t="s">
        <v>7</v>
      </c>
      <c r="E137">
        <v>12</v>
      </c>
      <c r="F137">
        <v>100.6</v>
      </c>
      <c r="G137" t="s">
        <v>16</v>
      </c>
      <c r="H137">
        <f t="shared" si="2"/>
        <v>2022</v>
      </c>
    </row>
    <row r="138" spans="2:8" hidden="1">
      <c r="B138" s="1">
        <v>44642</v>
      </c>
      <c r="C138" t="s">
        <v>18</v>
      </c>
      <c r="D138" t="s">
        <v>23</v>
      </c>
      <c r="E138">
        <v>11</v>
      </c>
      <c r="F138">
        <v>214</v>
      </c>
      <c r="G138" t="s">
        <v>11</v>
      </c>
      <c r="H138">
        <f t="shared" si="2"/>
        <v>2022</v>
      </c>
    </row>
    <row r="139" spans="2:8" hidden="1">
      <c r="B139" s="1">
        <v>44686</v>
      </c>
      <c r="C139" t="s">
        <v>17</v>
      </c>
      <c r="D139" t="s">
        <v>10</v>
      </c>
      <c r="E139">
        <v>13</v>
      </c>
      <c r="F139">
        <v>315.98</v>
      </c>
      <c r="G139" t="s">
        <v>22</v>
      </c>
      <c r="H139">
        <f t="shared" si="2"/>
        <v>2022</v>
      </c>
    </row>
    <row r="140" spans="2:8" hidden="1">
      <c r="B140" s="1">
        <v>44603</v>
      </c>
      <c r="C140" t="s">
        <v>17</v>
      </c>
      <c r="D140" t="s">
        <v>19</v>
      </c>
      <c r="E140">
        <v>1</v>
      </c>
      <c r="F140">
        <v>13.06</v>
      </c>
      <c r="G140" t="s">
        <v>22</v>
      </c>
      <c r="H140">
        <f t="shared" si="2"/>
        <v>2022</v>
      </c>
    </row>
    <row r="141" spans="2:8" hidden="1">
      <c r="B141" s="1">
        <v>44619</v>
      </c>
      <c r="C141" t="s">
        <v>12</v>
      </c>
      <c r="D141" t="s">
        <v>13</v>
      </c>
      <c r="E141">
        <v>3</v>
      </c>
      <c r="F141">
        <v>44.25</v>
      </c>
      <c r="G141" t="s">
        <v>22</v>
      </c>
      <c r="H141">
        <f t="shared" si="2"/>
        <v>2022</v>
      </c>
    </row>
    <row r="142" spans="2:8" hidden="1">
      <c r="B142" s="1">
        <v>44760</v>
      </c>
      <c r="C142" t="s">
        <v>6</v>
      </c>
      <c r="D142" t="s">
        <v>13</v>
      </c>
      <c r="E142">
        <v>5</v>
      </c>
      <c r="F142">
        <v>97.26</v>
      </c>
      <c r="G142" t="s">
        <v>11</v>
      </c>
      <c r="H142">
        <f t="shared" si="2"/>
        <v>2022</v>
      </c>
    </row>
    <row r="143" spans="2:8" hidden="1">
      <c r="B143" s="1">
        <v>44771</v>
      </c>
      <c r="C143" t="s">
        <v>9</v>
      </c>
      <c r="D143" t="s">
        <v>23</v>
      </c>
      <c r="E143">
        <v>20</v>
      </c>
      <c r="F143">
        <v>380.27</v>
      </c>
      <c r="G143" t="s">
        <v>11</v>
      </c>
      <c r="H143">
        <f t="shared" si="2"/>
        <v>2022</v>
      </c>
    </row>
    <row r="144" spans="2:8" hidden="1">
      <c r="B144" s="1">
        <v>44665</v>
      </c>
      <c r="C144" t="s">
        <v>6</v>
      </c>
      <c r="D144" t="s">
        <v>23</v>
      </c>
      <c r="E144">
        <v>9</v>
      </c>
      <c r="F144">
        <v>79.13</v>
      </c>
      <c r="G144" t="s">
        <v>14</v>
      </c>
      <c r="H144">
        <f t="shared" si="2"/>
        <v>2022</v>
      </c>
    </row>
    <row r="145" spans="2:8" hidden="1">
      <c r="B145" s="1">
        <v>44735</v>
      </c>
      <c r="C145" t="s">
        <v>17</v>
      </c>
      <c r="D145" t="s">
        <v>19</v>
      </c>
      <c r="E145">
        <v>3</v>
      </c>
      <c r="F145">
        <v>56.2</v>
      </c>
      <c r="G145" t="s">
        <v>8</v>
      </c>
      <c r="H145">
        <f t="shared" si="2"/>
        <v>2022</v>
      </c>
    </row>
    <row r="146" spans="2:8" hidden="1">
      <c r="B146" s="1">
        <v>44717</v>
      </c>
      <c r="C146" t="s">
        <v>18</v>
      </c>
      <c r="D146" t="s">
        <v>19</v>
      </c>
      <c r="E146">
        <v>7</v>
      </c>
      <c r="F146">
        <v>156.91999999999999</v>
      </c>
      <c r="G146" t="s">
        <v>11</v>
      </c>
      <c r="H146">
        <f t="shared" si="2"/>
        <v>2022</v>
      </c>
    </row>
    <row r="147" spans="2:8" hidden="1">
      <c r="B147" s="1">
        <v>44699</v>
      </c>
      <c r="C147" t="s">
        <v>9</v>
      </c>
      <c r="D147" t="s">
        <v>13</v>
      </c>
      <c r="E147">
        <v>13</v>
      </c>
      <c r="F147">
        <v>187.47</v>
      </c>
      <c r="G147" t="s">
        <v>22</v>
      </c>
      <c r="H147">
        <f t="shared" si="2"/>
        <v>2022</v>
      </c>
    </row>
    <row r="148" spans="2:8" hidden="1">
      <c r="B148" s="1">
        <v>44695</v>
      </c>
      <c r="C148" t="s">
        <v>17</v>
      </c>
      <c r="D148" t="s">
        <v>7</v>
      </c>
      <c r="E148">
        <v>14</v>
      </c>
      <c r="F148">
        <v>234.19</v>
      </c>
      <c r="G148" t="s">
        <v>16</v>
      </c>
      <c r="H148">
        <f t="shared" si="2"/>
        <v>2022</v>
      </c>
    </row>
    <row r="149" spans="2:8" hidden="1">
      <c r="B149" s="1">
        <v>44677</v>
      </c>
      <c r="C149" t="s">
        <v>9</v>
      </c>
      <c r="D149" t="s">
        <v>10</v>
      </c>
      <c r="E149">
        <v>12</v>
      </c>
      <c r="F149">
        <v>248.77</v>
      </c>
      <c r="G149" t="s">
        <v>16</v>
      </c>
      <c r="H149">
        <f t="shared" si="2"/>
        <v>2022</v>
      </c>
    </row>
    <row r="150" spans="2:8" hidden="1">
      <c r="B150" s="1">
        <v>44580</v>
      </c>
      <c r="C150" t="s">
        <v>15</v>
      </c>
      <c r="D150" t="s">
        <v>24</v>
      </c>
      <c r="E150">
        <v>11</v>
      </c>
      <c r="F150">
        <v>224.04</v>
      </c>
      <c r="G150" t="s">
        <v>11</v>
      </c>
      <c r="H150">
        <f t="shared" si="2"/>
        <v>2022</v>
      </c>
    </row>
    <row r="151" spans="2:8" hidden="1">
      <c r="B151" s="1">
        <v>44687</v>
      </c>
      <c r="C151" t="s">
        <v>15</v>
      </c>
      <c r="D151" t="s">
        <v>24</v>
      </c>
      <c r="E151">
        <v>8</v>
      </c>
      <c r="F151">
        <v>88.55</v>
      </c>
      <c r="G151" t="s">
        <v>11</v>
      </c>
      <c r="H151">
        <f t="shared" si="2"/>
        <v>2022</v>
      </c>
    </row>
    <row r="152" spans="2:8" hidden="1">
      <c r="B152" s="1">
        <v>44622</v>
      </c>
      <c r="C152" t="s">
        <v>12</v>
      </c>
      <c r="D152" t="s">
        <v>23</v>
      </c>
      <c r="E152">
        <v>20</v>
      </c>
      <c r="F152">
        <v>302.63</v>
      </c>
      <c r="G152" t="s">
        <v>14</v>
      </c>
      <c r="H152">
        <f t="shared" si="2"/>
        <v>2022</v>
      </c>
    </row>
    <row r="153" spans="2:8">
      <c r="B153" s="1">
        <v>44610</v>
      </c>
      <c r="C153" t="s">
        <v>17</v>
      </c>
      <c r="D153" t="s">
        <v>7</v>
      </c>
      <c r="E153">
        <v>3</v>
      </c>
      <c r="F153">
        <v>73.09</v>
      </c>
      <c r="G153" t="s">
        <v>11</v>
      </c>
      <c r="H153">
        <f t="shared" si="2"/>
        <v>2022</v>
      </c>
    </row>
    <row r="154" spans="2:8" hidden="1">
      <c r="B154" s="1">
        <v>44759</v>
      </c>
      <c r="C154" t="s">
        <v>15</v>
      </c>
      <c r="D154" t="s">
        <v>24</v>
      </c>
      <c r="E154">
        <v>7</v>
      </c>
      <c r="F154">
        <v>85.93</v>
      </c>
      <c r="G154" t="s">
        <v>11</v>
      </c>
      <c r="H154">
        <f t="shared" si="2"/>
        <v>2022</v>
      </c>
    </row>
    <row r="155" spans="2:8" hidden="1">
      <c r="B155" s="1">
        <v>44652</v>
      </c>
      <c r="C155" t="s">
        <v>12</v>
      </c>
      <c r="D155" t="s">
        <v>20</v>
      </c>
      <c r="E155">
        <v>9</v>
      </c>
      <c r="F155">
        <v>112.85</v>
      </c>
      <c r="G155" t="s">
        <v>16</v>
      </c>
      <c r="H155">
        <f t="shared" si="2"/>
        <v>2022</v>
      </c>
    </row>
    <row r="156" spans="2:8" hidden="1">
      <c r="B156" s="1">
        <v>44775</v>
      </c>
      <c r="C156" t="s">
        <v>21</v>
      </c>
      <c r="D156" t="s">
        <v>10</v>
      </c>
      <c r="E156">
        <v>2</v>
      </c>
      <c r="F156">
        <v>18.27</v>
      </c>
      <c r="G156" t="s">
        <v>16</v>
      </c>
      <c r="H156">
        <f t="shared" si="2"/>
        <v>2022</v>
      </c>
    </row>
    <row r="157" spans="2:8" hidden="1">
      <c r="B157" s="1">
        <v>44774</v>
      </c>
      <c r="C157" t="s">
        <v>17</v>
      </c>
      <c r="D157" t="s">
        <v>24</v>
      </c>
      <c r="E157">
        <v>6</v>
      </c>
      <c r="F157">
        <v>55.27</v>
      </c>
      <c r="G157" t="s">
        <v>8</v>
      </c>
      <c r="H157">
        <f t="shared" si="2"/>
        <v>2022</v>
      </c>
    </row>
    <row r="158" spans="2:8" hidden="1">
      <c r="B158" s="1">
        <v>44738</v>
      </c>
      <c r="C158" t="s">
        <v>15</v>
      </c>
      <c r="D158" t="s">
        <v>23</v>
      </c>
      <c r="E158">
        <v>11</v>
      </c>
      <c r="F158">
        <v>186.86</v>
      </c>
      <c r="G158" t="s">
        <v>22</v>
      </c>
      <c r="H158">
        <f t="shared" si="2"/>
        <v>2022</v>
      </c>
    </row>
    <row r="159" spans="2:8" hidden="1">
      <c r="B159" s="1">
        <v>44704</v>
      </c>
      <c r="C159" t="s">
        <v>15</v>
      </c>
      <c r="D159" t="s">
        <v>20</v>
      </c>
      <c r="E159">
        <v>17</v>
      </c>
      <c r="F159">
        <v>350.78</v>
      </c>
      <c r="G159" t="s">
        <v>14</v>
      </c>
      <c r="H159">
        <f t="shared" si="2"/>
        <v>2022</v>
      </c>
    </row>
    <row r="160" spans="2:8" hidden="1">
      <c r="B160" s="1">
        <v>44723</v>
      </c>
      <c r="C160" t="s">
        <v>21</v>
      </c>
      <c r="D160" t="s">
        <v>20</v>
      </c>
      <c r="E160">
        <v>2</v>
      </c>
      <c r="F160">
        <v>46.75</v>
      </c>
      <c r="G160" t="s">
        <v>8</v>
      </c>
      <c r="H160">
        <f t="shared" si="2"/>
        <v>2022</v>
      </c>
    </row>
    <row r="161" spans="2:8" hidden="1">
      <c r="B161" s="1">
        <v>44705</v>
      </c>
      <c r="C161" t="s">
        <v>15</v>
      </c>
      <c r="D161" t="s">
        <v>13</v>
      </c>
      <c r="E161">
        <v>19</v>
      </c>
      <c r="F161">
        <v>326.36</v>
      </c>
      <c r="G161" t="s">
        <v>22</v>
      </c>
      <c r="H161">
        <f t="shared" si="2"/>
        <v>2022</v>
      </c>
    </row>
    <row r="162" spans="2:8" hidden="1">
      <c r="B162" s="1">
        <v>44704</v>
      </c>
      <c r="C162" t="s">
        <v>17</v>
      </c>
      <c r="D162" t="s">
        <v>23</v>
      </c>
      <c r="E162">
        <v>1</v>
      </c>
      <c r="F162">
        <v>12.41</v>
      </c>
      <c r="G162" t="s">
        <v>8</v>
      </c>
      <c r="H162">
        <f t="shared" si="2"/>
        <v>2022</v>
      </c>
    </row>
    <row r="163" spans="2:8" hidden="1">
      <c r="B163" s="1">
        <v>44690</v>
      </c>
      <c r="C163" t="s">
        <v>17</v>
      </c>
      <c r="D163" t="s">
        <v>10</v>
      </c>
      <c r="E163">
        <v>15</v>
      </c>
      <c r="F163">
        <v>223.3</v>
      </c>
      <c r="G163" t="s">
        <v>14</v>
      </c>
      <c r="H163">
        <f t="shared" si="2"/>
        <v>2022</v>
      </c>
    </row>
    <row r="164" spans="2:8" hidden="1">
      <c r="B164" s="1">
        <v>44593</v>
      </c>
      <c r="C164" t="s">
        <v>18</v>
      </c>
      <c r="D164" t="s">
        <v>23</v>
      </c>
      <c r="E164">
        <v>19</v>
      </c>
      <c r="F164">
        <v>202.9</v>
      </c>
      <c r="G164" t="s">
        <v>22</v>
      </c>
      <c r="H164">
        <f t="shared" si="2"/>
        <v>2022</v>
      </c>
    </row>
    <row r="165" spans="2:8" hidden="1">
      <c r="B165" s="1">
        <v>44774</v>
      </c>
      <c r="C165" t="s">
        <v>6</v>
      </c>
      <c r="D165" t="s">
        <v>7</v>
      </c>
      <c r="E165">
        <v>3</v>
      </c>
      <c r="F165">
        <v>56.22</v>
      </c>
      <c r="G165" t="s">
        <v>16</v>
      </c>
      <c r="H165">
        <f t="shared" si="2"/>
        <v>2022</v>
      </c>
    </row>
    <row r="166" spans="2:8" hidden="1">
      <c r="B166" s="1">
        <v>44796</v>
      </c>
      <c r="C166" t="s">
        <v>15</v>
      </c>
      <c r="D166" t="s">
        <v>24</v>
      </c>
      <c r="E166">
        <v>10</v>
      </c>
      <c r="F166">
        <v>246.29</v>
      </c>
      <c r="G166" t="s">
        <v>8</v>
      </c>
      <c r="H166">
        <f t="shared" si="2"/>
        <v>2022</v>
      </c>
    </row>
    <row r="167" spans="2:8" hidden="1">
      <c r="B167" s="1">
        <v>44662</v>
      </c>
      <c r="C167" t="s">
        <v>12</v>
      </c>
      <c r="D167" t="s">
        <v>13</v>
      </c>
      <c r="E167">
        <v>18</v>
      </c>
      <c r="F167">
        <v>329.35</v>
      </c>
      <c r="G167" t="s">
        <v>22</v>
      </c>
      <c r="H167">
        <f t="shared" si="2"/>
        <v>2022</v>
      </c>
    </row>
    <row r="168" spans="2:8" hidden="1">
      <c r="B168" s="1">
        <v>44670</v>
      </c>
      <c r="C168" t="s">
        <v>18</v>
      </c>
      <c r="D168" t="s">
        <v>20</v>
      </c>
      <c r="E168">
        <v>14</v>
      </c>
      <c r="F168">
        <v>349.22</v>
      </c>
      <c r="G168" t="s">
        <v>16</v>
      </c>
      <c r="H168">
        <f t="shared" si="2"/>
        <v>2022</v>
      </c>
    </row>
    <row r="169" spans="2:8" hidden="1">
      <c r="B169" s="1">
        <v>44603</v>
      </c>
      <c r="C169" t="s">
        <v>6</v>
      </c>
      <c r="D169" t="s">
        <v>23</v>
      </c>
      <c r="E169">
        <v>15</v>
      </c>
      <c r="F169">
        <v>268.43</v>
      </c>
      <c r="G169" t="s">
        <v>11</v>
      </c>
      <c r="H169">
        <f t="shared" si="2"/>
        <v>2022</v>
      </c>
    </row>
    <row r="170" spans="2:8" hidden="1">
      <c r="B170" s="1">
        <v>44613</v>
      </c>
      <c r="C170" t="s">
        <v>9</v>
      </c>
      <c r="D170" t="s">
        <v>20</v>
      </c>
      <c r="E170">
        <v>14</v>
      </c>
      <c r="F170">
        <v>319.69</v>
      </c>
      <c r="G170" t="s">
        <v>16</v>
      </c>
      <c r="H170">
        <f t="shared" si="2"/>
        <v>2022</v>
      </c>
    </row>
    <row r="171" spans="2:8" hidden="1">
      <c r="B171" s="1">
        <v>44735</v>
      </c>
      <c r="C171" t="s">
        <v>18</v>
      </c>
      <c r="D171" t="s">
        <v>24</v>
      </c>
      <c r="E171">
        <v>11</v>
      </c>
      <c r="F171">
        <v>166.88</v>
      </c>
      <c r="G171" t="s">
        <v>8</v>
      </c>
      <c r="H171">
        <f t="shared" si="2"/>
        <v>2022</v>
      </c>
    </row>
    <row r="172" spans="2:8" hidden="1">
      <c r="B172" s="1">
        <v>44686</v>
      </c>
      <c r="C172" t="s">
        <v>6</v>
      </c>
      <c r="D172" t="s">
        <v>19</v>
      </c>
      <c r="E172">
        <v>2</v>
      </c>
      <c r="F172">
        <v>29.69</v>
      </c>
      <c r="G172" t="s">
        <v>22</v>
      </c>
      <c r="H172">
        <f t="shared" si="2"/>
        <v>2022</v>
      </c>
    </row>
    <row r="173" spans="2:8" hidden="1">
      <c r="B173" s="1">
        <v>44675</v>
      </c>
      <c r="C173" t="s">
        <v>21</v>
      </c>
      <c r="D173" t="s">
        <v>10</v>
      </c>
      <c r="E173">
        <v>13</v>
      </c>
      <c r="F173">
        <v>193.09</v>
      </c>
      <c r="G173" t="s">
        <v>11</v>
      </c>
      <c r="H173">
        <f t="shared" si="2"/>
        <v>2022</v>
      </c>
    </row>
    <row r="174" spans="2:8" hidden="1">
      <c r="B174" s="1">
        <v>44738</v>
      </c>
      <c r="C174" t="s">
        <v>21</v>
      </c>
      <c r="D174" t="s">
        <v>10</v>
      </c>
      <c r="E174">
        <v>16</v>
      </c>
      <c r="F174">
        <v>276.52999999999997</v>
      </c>
      <c r="G174" t="s">
        <v>22</v>
      </c>
      <c r="H174">
        <f t="shared" si="2"/>
        <v>2022</v>
      </c>
    </row>
    <row r="175" spans="2:8" hidden="1">
      <c r="B175" s="1">
        <v>44794</v>
      </c>
      <c r="C175" t="s">
        <v>6</v>
      </c>
      <c r="D175" t="s">
        <v>10</v>
      </c>
      <c r="E175">
        <v>2</v>
      </c>
      <c r="F175">
        <v>49.91</v>
      </c>
      <c r="G175" t="s">
        <v>8</v>
      </c>
      <c r="H175">
        <f t="shared" si="2"/>
        <v>2022</v>
      </c>
    </row>
    <row r="176" spans="2:8" hidden="1">
      <c r="B176" s="1">
        <v>44737</v>
      </c>
      <c r="C176" t="s">
        <v>15</v>
      </c>
      <c r="D176" t="s">
        <v>24</v>
      </c>
      <c r="E176">
        <v>16</v>
      </c>
      <c r="F176">
        <v>131.88</v>
      </c>
      <c r="G176" t="s">
        <v>8</v>
      </c>
      <c r="H176">
        <f t="shared" si="2"/>
        <v>2022</v>
      </c>
    </row>
    <row r="177" spans="2:8" hidden="1">
      <c r="B177" s="1">
        <v>44600</v>
      </c>
      <c r="C177" t="s">
        <v>17</v>
      </c>
      <c r="D177" t="s">
        <v>23</v>
      </c>
      <c r="E177">
        <v>16</v>
      </c>
      <c r="F177">
        <v>306.63</v>
      </c>
      <c r="G177" t="s">
        <v>11</v>
      </c>
      <c r="H177">
        <f t="shared" si="2"/>
        <v>2022</v>
      </c>
    </row>
    <row r="178" spans="2:8" hidden="1">
      <c r="B178" s="1">
        <v>44753</v>
      </c>
      <c r="C178" t="s">
        <v>21</v>
      </c>
      <c r="D178" t="s">
        <v>13</v>
      </c>
      <c r="E178">
        <v>8</v>
      </c>
      <c r="F178">
        <v>162.66999999999999</v>
      </c>
      <c r="G178" t="s">
        <v>11</v>
      </c>
      <c r="H178">
        <f t="shared" si="2"/>
        <v>2022</v>
      </c>
    </row>
    <row r="179" spans="2:8" hidden="1">
      <c r="B179" s="1">
        <v>44766</v>
      </c>
      <c r="C179" t="s">
        <v>21</v>
      </c>
      <c r="D179" t="s">
        <v>19</v>
      </c>
      <c r="E179">
        <v>20</v>
      </c>
      <c r="F179">
        <v>216.6</v>
      </c>
      <c r="G179" t="s">
        <v>22</v>
      </c>
      <c r="H179">
        <f t="shared" si="2"/>
        <v>2022</v>
      </c>
    </row>
    <row r="180" spans="2:8" hidden="1">
      <c r="B180" s="1">
        <v>44709</v>
      </c>
      <c r="C180" t="s">
        <v>9</v>
      </c>
      <c r="D180" t="s">
        <v>10</v>
      </c>
      <c r="E180">
        <v>20</v>
      </c>
      <c r="F180">
        <v>427.81</v>
      </c>
      <c r="G180" t="s">
        <v>16</v>
      </c>
      <c r="H180">
        <f t="shared" si="2"/>
        <v>2022</v>
      </c>
    </row>
    <row r="181" spans="2:8" hidden="1">
      <c r="B181" s="1">
        <v>44706</v>
      </c>
      <c r="C181" t="s">
        <v>18</v>
      </c>
      <c r="D181" t="s">
        <v>19</v>
      </c>
      <c r="E181">
        <v>5</v>
      </c>
      <c r="F181">
        <v>79.489999999999995</v>
      </c>
      <c r="G181" t="s">
        <v>8</v>
      </c>
      <c r="H181">
        <f t="shared" si="2"/>
        <v>2022</v>
      </c>
    </row>
    <row r="182" spans="2:8" hidden="1">
      <c r="B182" s="1">
        <v>44728</v>
      </c>
      <c r="C182" t="s">
        <v>18</v>
      </c>
      <c r="D182" t="s">
        <v>7</v>
      </c>
      <c r="E182">
        <v>16</v>
      </c>
      <c r="F182">
        <v>300.37</v>
      </c>
      <c r="G182" t="s">
        <v>14</v>
      </c>
      <c r="H182">
        <f t="shared" si="2"/>
        <v>2022</v>
      </c>
    </row>
    <row r="183" spans="2:8">
      <c r="B183" s="1">
        <v>44600</v>
      </c>
      <c r="C183" t="s">
        <v>15</v>
      </c>
      <c r="D183" t="s">
        <v>7</v>
      </c>
      <c r="E183">
        <v>2</v>
      </c>
      <c r="F183">
        <v>49.7</v>
      </c>
      <c r="G183" t="s">
        <v>14</v>
      </c>
      <c r="H183">
        <f t="shared" si="2"/>
        <v>2022</v>
      </c>
    </row>
    <row r="184" spans="2:8" hidden="1">
      <c r="B184" s="1">
        <v>44675</v>
      </c>
      <c r="C184" t="s">
        <v>6</v>
      </c>
      <c r="D184" t="s">
        <v>19</v>
      </c>
      <c r="E184">
        <v>11</v>
      </c>
      <c r="F184">
        <v>125.38</v>
      </c>
      <c r="G184" t="s">
        <v>16</v>
      </c>
      <c r="H184">
        <f t="shared" si="2"/>
        <v>2022</v>
      </c>
    </row>
    <row r="185" spans="2:8" hidden="1">
      <c r="B185" s="1">
        <v>44699</v>
      </c>
      <c r="C185" t="s">
        <v>9</v>
      </c>
      <c r="D185" t="s">
        <v>10</v>
      </c>
      <c r="E185">
        <v>15</v>
      </c>
      <c r="F185">
        <v>155.47999999999999</v>
      </c>
      <c r="G185" t="s">
        <v>16</v>
      </c>
      <c r="H185">
        <f t="shared" si="2"/>
        <v>2022</v>
      </c>
    </row>
    <row r="186" spans="2:8" hidden="1">
      <c r="B186" s="1">
        <v>44756</v>
      </c>
      <c r="C186" t="s">
        <v>12</v>
      </c>
      <c r="D186" t="s">
        <v>13</v>
      </c>
      <c r="E186">
        <v>16</v>
      </c>
      <c r="F186">
        <v>340.68</v>
      </c>
      <c r="G186" t="s">
        <v>14</v>
      </c>
      <c r="H186">
        <f t="shared" si="2"/>
        <v>2022</v>
      </c>
    </row>
    <row r="187" spans="2:8" hidden="1">
      <c r="B187" s="1">
        <v>44765</v>
      </c>
      <c r="C187" t="s">
        <v>6</v>
      </c>
      <c r="D187" t="s">
        <v>7</v>
      </c>
      <c r="E187">
        <v>5</v>
      </c>
      <c r="F187">
        <v>49.44</v>
      </c>
      <c r="G187" t="s">
        <v>8</v>
      </c>
      <c r="H187">
        <f t="shared" si="2"/>
        <v>2022</v>
      </c>
    </row>
    <row r="188" spans="2:8" hidden="1">
      <c r="B188" s="1">
        <v>44744</v>
      </c>
      <c r="C188" t="s">
        <v>9</v>
      </c>
      <c r="D188" t="s">
        <v>23</v>
      </c>
      <c r="E188">
        <v>14</v>
      </c>
      <c r="F188">
        <v>344.7</v>
      </c>
      <c r="G188" t="s">
        <v>16</v>
      </c>
      <c r="H188">
        <f t="shared" si="2"/>
        <v>2022</v>
      </c>
    </row>
    <row r="189" spans="2:8" hidden="1">
      <c r="B189" s="1">
        <v>44748</v>
      </c>
      <c r="C189" t="s">
        <v>17</v>
      </c>
      <c r="D189" t="s">
        <v>7</v>
      </c>
      <c r="E189">
        <v>5</v>
      </c>
      <c r="F189">
        <v>95.03</v>
      </c>
      <c r="G189" t="s">
        <v>8</v>
      </c>
      <c r="H189">
        <f t="shared" si="2"/>
        <v>2022</v>
      </c>
    </row>
    <row r="190" spans="2:8" hidden="1">
      <c r="B190" s="1">
        <v>44673</v>
      </c>
      <c r="C190" t="s">
        <v>17</v>
      </c>
      <c r="D190" t="s">
        <v>20</v>
      </c>
      <c r="E190">
        <v>3</v>
      </c>
      <c r="F190">
        <v>52.4</v>
      </c>
      <c r="G190" t="s">
        <v>16</v>
      </c>
      <c r="H190">
        <f t="shared" si="2"/>
        <v>2022</v>
      </c>
    </row>
    <row r="191" spans="2:8" hidden="1">
      <c r="B191" s="1">
        <v>44677</v>
      </c>
      <c r="C191" t="s">
        <v>18</v>
      </c>
      <c r="D191" t="s">
        <v>10</v>
      </c>
      <c r="E191">
        <v>5</v>
      </c>
      <c r="F191">
        <v>106.94</v>
      </c>
      <c r="G191" t="s">
        <v>16</v>
      </c>
      <c r="H191">
        <f t="shared" si="2"/>
        <v>2022</v>
      </c>
    </row>
    <row r="192" spans="2:8" hidden="1">
      <c r="B192" s="1">
        <v>44645</v>
      </c>
      <c r="C192" t="s">
        <v>9</v>
      </c>
      <c r="D192" t="s">
        <v>19</v>
      </c>
      <c r="E192">
        <v>5</v>
      </c>
      <c r="F192">
        <v>94.04</v>
      </c>
      <c r="G192" t="s">
        <v>16</v>
      </c>
      <c r="H192">
        <f t="shared" si="2"/>
        <v>2022</v>
      </c>
    </row>
    <row r="193" spans="2:8" hidden="1">
      <c r="B193" s="1">
        <v>44567</v>
      </c>
      <c r="C193" t="s">
        <v>17</v>
      </c>
      <c r="D193" t="s">
        <v>20</v>
      </c>
      <c r="E193">
        <v>3</v>
      </c>
      <c r="F193">
        <v>54.15</v>
      </c>
      <c r="G193" t="s">
        <v>11</v>
      </c>
      <c r="H193">
        <f t="shared" si="2"/>
        <v>2022</v>
      </c>
    </row>
    <row r="194" spans="2:8" hidden="1">
      <c r="B194" s="1">
        <v>44681</v>
      </c>
      <c r="C194" t="s">
        <v>21</v>
      </c>
      <c r="D194" t="s">
        <v>13</v>
      </c>
      <c r="E194">
        <v>14</v>
      </c>
      <c r="F194">
        <v>115.82</v>
      </c>
      <c r="G194" t="s">
        <v>14</v>
      </c>
      <c r="H194">
        <f t="shared" ref="H194:H257" si="3">YEAR(B194)</f>
        <v>2022</v>
      </c>
    </row>
    <row r="195" spans="2:8" hidden="1">
      <c r="B195" s="1">
        <v>44731</v>
      </c>
      <c r="C195" t="s">
        <v>21</v>
      </c>
      <c r="D195" t="s">
        <v>23</v>
      </c>
      <c r="E195">
        <v>9</v>
      </c>
      <c r="F195">
        <v>204</v>
      </c>
      <c r="G195" t="s">
        <v>14</v>
      </c>
      <c r="H195">
        <f t="shared" si="3"/>
        <v>2022</v>
      </c>
    </row>
    <row r="196" spans="2:8" hidden="1">
      <c r="B196" s="1">
        <v>44749</v>
      </c>
      <c r="C196" t="s">
        <v>21</v>
      </c>
      <c r="D196" t="s">
        <v>23</v>
      </c>
      <c r="E196">
        <v>1</v>
      </c>
      <c r="F196">
        <v>19.920000000000002</v>
      </c>
      <c r="G196" t="s">
        <v>14</v>
      </c>
      <c r="H196">
        <f t="shared" si="3"/>
        <v>2022</v>
      </c>
    </row>
    <row r="197" spans="2:8" hidden="1">
      <c r="B197" s="1">
        <v>44708</v>
      </c>
      <c r="C197" t="s">
        <v>15</v>
      </c>
      <c r="D197" t="s">
        <v>13</v>
      </c>
      <c r="E197">
        <v>12</v>
      </c>
      <c r="F197">
        <v>151.09</v>
      </c>
      <c r="G197" t="s">
        <v>11</v>
      </c>
      <c r="H197">
        <f t="shared" si="3"/>
        <v>2022</v>
      </c>
    </row>
    <row r="198" spans="2:8" hidden="1">
      <c r="B198" s="1">
        <v>44769</v>
      </c>
      <c r="C198" t="s">
        <v>12</v>
      </c>
      <c r="D198" t="s">
        <v>19</v>
      </c>
      <c r="E198">
        <v>3</v>
      </c>
      <c r="F198">
        <v>59.89</v>
      </c>
      <c r="G198" t="s">
        <v>22</v>
      </c>
      <c r="H198">
        <f t="shared" si="3"/>
        <v>2022</v>
      </c>
    </row>
    <row r="199" spans="2:8" hidden="1">
      <c r="B199" s="1">
        <v>44712</v>
      </c>
      <c r="C199" t="s">
        <v>17</v>
      </c>
      <c r="D199" t="s">
        <v>13</v>
      </c>
      <c r="E199">
        <v>15</v>
      </c>
      <c r="F199">
        <v>363.94</v>
      </c>
      <c r="G199" t="s">
        <v>11</v>
      </c>
      <c r="H199">
        <f t="shared" si="3"/>
        <v>2022</v>
      </c>
    </row>
    <row r="200" spans="2:8" hidden="1">
      <c r="B200" s="1">
        <v>44699</v>
      </c>
      <c r="C200" t="s">
        <v>15</v>
      </c>
      <c r="D200" t="s">
        <v>20</v>
      </c>
      <c r="E200">
        <v>7</v>
      </c>
      <c r="F200">
        <v>91.95</v>
      </c>
      <c r="G200" t="s">
        <v>14</v>
      </c>
      <c r="H200">
        <f t="shared" si="3"/>
        <v>2022</v>
      </c>
    </row>
    <row r="201" spans="2:8" hidden="1">
      <c r="B201" s="1">
        <v>44728</v>
      </c>
      <c r="C201" t="s">
        <v>21</v>
      </c>
      <c r="D201" t="s">
        <v>19</v>
      </c>
      <c r="E201">
        <v>15</v>
      </c>
      <c r="F201">
        <v>150.34</v>
      </c>
      <c r="G201" t="s">
        <v>14</v>
      </c>
      <c r="H201">
        <f t="shared" si="3"/>
        <v>2022</v>
      </c>
    </row>
    <row r="202" spans="2:8" hidden="1">
      <c r="B202" s="1">
        <v>44698</v>
      </c>
      <c r="C202" t="s">
        <v>21</v>
      </c>
      <c r="D202" t="s">
        <v>13</v>
      </c>
      <c r="E202">
        <v>17</v>
      </c>
      <c r="F202">
        <v>180.65</v>
      </c>
      <c r="G202" t="s">
        <v>8</v>
      </c>
      <c r="H202">
        <f t="shared" si="3"/>
        <v>2022</v>
      </c>
    </row>
    <row r="203" spans="2:8" hidden="1">
      <c r="B203" s="1">
        <v>44597</v>
      </c>
      <c r="C203" t="s">
        <v>15</v>
      </c>
      <c r="D203" t="s">
        <v>23</v>
      </c>
      <c r="E203">
        <v>8</v>
      </c>
      <c r="F203">
        <v>110.6</v>
      </c>
      <c r="G203" t="s">
        <v>22</v>
      </c>
      <c r="H203">
        <f t="shared" si="3"/>
        <v>2022</v>
      </c>
    </row>
    <row r="204" spans="2:8" hidden="1">
      <c r="B204" s="1">
        <v>44665</v>
      </c>
      <c r="C204" t="s">
        <v>6</v>
      </c>
      <c r="D204" t="s">
        <v>10</v>
      </c>
      <c r="E204">
        <v>20</v>
      </c>
      <c r="F204">
        <v>330.3</v>
      </c>
      <c r="G204" t="s">
        <v>8</v>
      </c>
      <c r="H204">
        <f t="shared" si="3"/>
        <v>2022</v>
      </c>
    </row>
    <row r="205" spans="2:8" hidden="1">
      <c r="B205" s="1">
        <v>44743</v>
      </c>
      <c r="C205" t="s">
        <v>12</v>
      </c>
      <c r="D205" t="s">
        <v>24</v>
      </c>
      <c r="E205">
        <v>8</v>
      </c>
      <c r="F205">
        <v>93.83</v>
      </c>
      <c r="G205" t="s">
        <v>16</v>
      </c>
      <c r="H205">
        <f t="shared" si="3"/>
        <v>2022</v>
      </c>
    </row>
    <row r="206" spans="2:8">
      <c r="B206" s="1">
        <v>44598</v>
      </c>
      <c r="C206" t="s">
        <v>6</v>
      </c>
      <c r="D206" t="s">
        <v>7</v>
      </c>
      <c r="E206">
        <v>7</v>
      </c>
      <c r="F206">
        <v>67.430000000000007</v>
      </c>
      <c r="G206" t="s">
        <v>8</v>
      </c>
      <c r="H206">
        <f t="shared" si="3"/>
        <v>2022</v>
      </c>
    </row>
    <row r="207" spans="2:8" hidden="1">
      <c r="B207" s="1">
        <v>44721</v>
      </c>
      <c r="C207" t="s">
        <v>6</v>
      </c>
      <c r="D207" t="s">
        <v>13</v>
      </c>
      <c r="E207">
        <v>14</v>
      </c>
      <c r="F207">
        <v>307.75</v>
      </c>
      <c r="G207" t="s">
        <v>16</v>
      </c>
      <c r="H207">
        <f t="shared" si="3"/>
        <v>2022</v>
      </c>
    </row>
    <row r="208" spans="2:8" hidden="1">
      <c r="B208" s="1">
        <v>44714</v>
      </c>
      <c r="C208" t="s">
        <v>15</v>
      </c>
      <c r="D208" t="s">
        <v>23</v>
      </c>
      <c r="E208">
        <v>18</v>
      </c>
      <c r="F208">
        <v>149.85</v>
      </c>
      <c r="G208" t="s">
        <v>8</v>
      </c>
      <c r="H208">
        <f t="shared" si="3"/>
        <v>2022</v>
      </c>
    </row>
    <row r="209" spans="2:8" hidden="1">
      <c r="B209" s="1">
        <v>44751</v>
      </c>
      <c r="C209" t="s">
        <v>21</v>
      </c>
      <c r="D209" t="s">
        <v>24</v>
      </c>
      <c r="E209">
        <v>20</v>
      </c>
      <c r="F209">
        <v>176.04</v>
      </c>
      <c r="G209" t="s">
        <v>14</v>
      </c>
      <c r="H209">
        <f t="shared" si="3"/>
        <v>2022</v>
      </c>
    </row>
    <row r="210" spans="2:8" hidden="1">
      <c r="B210" s="1">
        <v>44752</v>
      </c>
      <c r="C210" t="s">
        <v>17</v>
      </c>
      <c r="D210" t="s">
        <v>7</v>
      </c>
      <c r="E210">
        <v>8</v>
      </c>
      <c r="F210">
        <v>102.72</v>
      </c>
      <c r="G210" t="s">
        <v>16</v>
      </c>
      <c r="H210">
        <f t="shared" si="3"/>
        <v>2022</v>
      </c>
    </row>
    <row r="211" spans="2:8" hidden="1">
      <c r="B211" s="1">
        <v>44779</v>
      </c>
      <c r="C211" t="s">
        <v>12</v>
      </c>
      <c r="D211" t="s">
        <v>19</v>
      </c>
      <c r="E211">
        <v>18</v>
      </c>
      <c r="F211">
        <v>224.44</v>
      </c>
      <c r="G211" t="s">
        <v>8</v>
      </c>
      <c r="H211">
        <f t="shared" si="3"/>
        <v>2022</v>
      </c>
    </row>
    <row r="212" spans="2:8" hidden="1">
      <c r="B212" s="1">
        <v>44606</v>
      </c>
      <c r="C212" t="s">
        <v>18</v>
      </c>
      <c r="D212" t="s">
        <v>20</v>
      </c>
      <c r="E212">
        <v>1</v>
      </c>
      <c r="F212">
        <v>23.68</v>
      </c>
      <c r="G212" t="s">
        <v>8</v>
      </c>
      <c r="H212">
        <f t="shared" si="3"/>
        <v>2022</v>
      </c>
    </row>
    <row r="213" spans="2:8" hidden="1">
      <c r="B213" s="1">
        <v>44685</v>
      </c>
      <c r="C213" t="s">
        <v>21</v>
      </c>
      <c r="D213" t="s">
        <v>7</v>
      </c>
      <c r="E213">
        <v>2</v>
      </c>
      <c r="F213">
        <v>47.79</v>
      </c>
      <c r="G213" t="s">
        <v>8</v>
      </c>
      <c r="H213">
        <f t="shared" si="3"/>
        <v>2022</v>
      </c>
    </row>
    <row r="214" spans="2:8" hidden="1">
      <c r="B214" s="1">
        <v>44790</v>
      </c>
      <c r="C214" t="s">
        <v>9</v>
      </c>
      <c r="D214" t="s">
        <v>19</v>
      </c>
      <c r="E214">
        <v>10</v>
      </c>
      <c r="F214">
        <v>154.6</v>
      </c>
      <c r="G214" t="s">
        <v>22</v>
      </c>
      <c r="H214">
        <f t="shared" si="3"/>
        <v>2022</v>
      </c>
    </row>
    <row r="215" spans="2:8" hidden="1">
      <c r="B215" s="1">
        <v>44698</v>
      </c>
      <c r="C215" t="s">
        <v>21</v>
      </c>
      <c r="D215" t="s">
        <v>10</v>
      </c>
      <c r="E215">
        <v>8</v>
      </c>
      <c r="F215">
        <v>158.49</v>
      </c>
      <c r="G215" t="s">
        <v>22</v>
      </c>
      <c r="H215">
        <f t="shared" si="3"/>
        <v>2022</v>
      </c>
    </row>
    <row r="216" spans="2:8" hidden="1">
      <c r="B216" s="1">
        <v>44775</v>
      </c>
      <c r="C216" t="s">
        <v>18</v>
      </c>
      <c r="D216" t="s">
        <v>20</v>
      </c>
      <c r="E216">
        <v>7</v>
      </c>
      <c r="F216">
        <v>68.989999999999995</v>
      </c>
      <c r="G216" t="s">
        <v>22</v>
      </c>
      <c r="H216">
        <f t="shared" si="3"/>
        <v>2022</v>
      </c>
    </row>
    <row r="217" spans="2:8" hidden="1">
      <c r="B217" s="1">
        <v>44702</v>
      </c>
      <c r="C217" t="s">
        <v>18</v>
      </c>
      <c r="D217" t="s">
        <v>10</v>
      </c>
      <c r="E217">
        <v>9</v>
      </c>
      <c r="F217">
        <v>186.56</v>
      </c>
      <c r="G217" t="s">
        <v>22</v>
      </c>
      <c r="H217">
        <f t="shared" si="3"/>
        <v>2022</v>
      </c>
    </row>
    <row r="218" spans="2:8" hidden="1">
      <c r="B218" s="1">
        <v>44733</v>
      </c>
      <c r="C218" t="s">
        <v>12</v>
      </c>
      <c r="D218" t="s">
        <v>24</v>
      </c>
      <c r="E218">
        <v>2</v>
      </c>
      <c r="F218">
        <v>36.61</v>
      </c>
      <c r="G218" t="s">
        <v>11</v>
      </c>
      <c r="H218">
        <f t="shared" si="3"/>
        <v>2022</v>
      </c>
    </row>
    <row r="219" spans="2:8" hidden="1">
      <c r="B219" s="1">
        <v>44569</v>
      </c>
      <c r="C219" t="s">
        <v>12</v>
      </c>
      <c r="D219" t="s">
        <v>19</v>
      </c>
      <c r="E219">
        <v>16</v>
      </c>
      <c r="F219">
        <v>392.8</v>
      </c>
      <c r="G219" t="s">
        <v>8</v>
      </c>
      <c r="H219">
        <f t="shared" si="3"/>
        <v>2022</v>
      </c>
    </row>
    <row r="220" spans="2:8" hidden="1">
      <c r="B220" s="1">
        <v>44723</v>
      </c>
      <c r="C220" t="s">
        <v>21</v>
      </c>
      <c r="D220" t="s">
        <v>13</v>
      </c>
      <c r="E220">
        <v>5</v>
      </c>
      <c r="F220">
        <v>82.32</v>
      </c>
      <c r="G220" t="s">
        <v>22</v>
      </c>
      <c r="H220">
        <f t="shared" si="3"/>
        <v>2022</v>
      </c>
    </row>
    <row r="221" spans="2:8" hidden="1">
      <c r="B221" s="1">
        <v>44659</v>
      </c>
      <c r="C221" t="s">
        <v>18</v>
      </c>
      <c r="D221" t="s">
        <v>10</v>
      </c>
      <c r="E221">
        <v>6</v>
      </c>
      <c r="F221">
        <v>128.69</v>
      </c>
      <c r="G221" t="s">
        <v>14</v>
      </c>
      <c r="H221">
        <f t="shared" si="3"/>
        <v>2022</v>
      </c>
    </row>
    <row r="222" spans="2:8" hidden="1">
      <c r="B222" s="1">
        <v>44777</v>
      </c>
      <c r="C222" t="s">
        <v>6</v>
      </c>
      <c r="D222" t="s">
        <v>10</v>
      </c>
      <c r="E222">
        <v>13</v>
      </c>
      <c r="F222">
        <v>323.95999999999998</v>
      </c>
      <c r="G222" t="s">
        <v>16</v>
      </c>
      <c r="H222">
        <f t="shared" si="3"/>
        <v>2022</v>
      </c>
    </row>
    <row r="223" spans="2:8" hidden="1">
      <c r="B223" s="1">
        <v>44633</v>
      </c>
      <c r="C223" t="s">
        <v>21</v>
      </c>
      <c r="D223" t="s">
        <v>23</v>
      </c>
      <c r="E223">
        <v>9</v>
      </c>
      <c r="F223">
        <v>180.57</v>
      </c>
      <c r="G223" t="s">
        <v>8</v>
      </c>
      <c r="H223">
        <f t="shared" si="3"/>
        <v>2022</v>
      </c>
    </row>
    <row r="224" spans="2:8" hidden="1">
      <c r="B224" s="1">
        <v>44798</v>
      </c>
      <c r="C224" t="s">
        <v>9</v>
      </c>
      <c r="D224" t="s">
        <v>23</v>
      </c>
      <c r="E224">
        <v>18</v>
      </c>
      <c r="F224">
        <v>229.15</v>
      </c>
      <c r="G224" t="s">
        <v>14</v>
      </c>
      <c r="H224">
        <f t="shared" si="3"/>
        <v>2022</v>
      </c>
    </row>
    <row r="225" spans="2:8" hidden="1">
      <c r="B225" s="1">
        <v>44792</v>
      </c>
      <c r="C225" t="s">
        <v>6</v>
      </c>
      <c r="D225" t="s">
        <v>23</v>
      </c>
      <c r="E225">
        <v>7</v>
      </c>
      <c r="F225">
        <v>163.5</v>
      </c>
      <c r="G225" t="s">
        <v>16</v>
      </c>
      <c r="H225">
        <f t="shared" si="3"/>
        <v>2022</v>
      </c>
    </row>
    <row r="226" spans="2:8" hidden="1">
      <c r="B226" s="1">
        <v>44630</v>
      </c>
      <c r="C226" t="s">
        <v>9</v>
      </c>
      <c r="D226" t="s">
        <v>20</v>
      </c>
      <c r="E226">
        <v>6</v>
      </c>
      <c r="F226">
        <v>124.34</v>
      </c>
      <c r="G226" t="s">
        <v>22</v>
      </c>
      <c r="H226">
        <f t="shared" si="3"/>
        <v>2022</v>
      </c>
    </row>
    <row r="227" spans="2:8" hidden="1">
      <c r="B227" s="1">
        <v>44613</v>
      </c>
      <c r="C227" t="s">
        <v>21</v>
      </c>
      <c r="D227" t="s">
        <v>23</v>
      </c>
      <c r="E227">
        <v>5</v>
      </c>
      <c r="F227">
        <v>64.33</v>
      </c>
      <c r="G227" t="s">
        <v>14</v>
      </c>
      <c r="H227">
        <f t="shared" si="3"/>
        <v>2022</v>
      </c>
    </row>
    <row r="228" spans="2:8" hidden="1">
      <c r="B228" s="1">
        <v>44685</v>
      </c>
      <c r="C228" t="s">
        <v>9</v>
      </c>
      <c r="D228" t="s">
        <v>7</v>
      </c>
      <c r="E228">
        <v>8</v>
      </c>
      <c r="F228">
        <v>94.84</v>
      </c>
      <c r="G228" t="s">
        <v>22</v>
      </c>
      <c r="H228">
        <f t="shared" si="3"/>
        <v>2022</v>
      </c>
    </row>
    <row r="229" spans="2:8" hidden="1">
      <c r="B229" s="1">
        <v>44580</v>
      </c>
      <c r="C229" t="s">
        <v>15</v>
      </c>
      <c r="D229" t="s">
        <v>19</v>
      </c>
      <c r="E229">
        <v>18</v>
      </c>
      <c r="F229">
        <v>432</v>
      </c>
      <c r="G229" t="s">
        <v>11</v>
      </c>
      <c r="H229">
        <f t="shared" si="3"/>
        <v>2022</v>
      </c>
    </row>
    <row r="230" spans="2:8" hidden="1">
      <c r="B230" s="1">
        <v>44715</v>
      </c>
      <c r="C230" t="s">
        <v>17</v>
      </c>
      <c r="D230" t="s">
        <v>24</v>
      </c>
      <c r="E230">
        <v>19</v>
      </c>
      <c r="F230">
        <v>368.72</v>
      </c>
      <c r="G230" t="s">
        <v>16</v>
      </c>
      <c r="H230">
        <f t="shared" si="3"/>
        <v>2022</v>
      </c>
    </row>
    <row r="231" spans="2:8" hidden="1">
      <c r="B231" s="1">
        <v>44751</v>
      </c>
      <c r="C231" t="s">
        <v>21</v>
      </c>
      <c r="D231" t="s">
        <v>10</v>
      </c>
      <c r="E231">
        <v>20</v>
      </c>
      <c r="F231">
        <v>486.94</v>
      </c>
      <c r="G231" t="s">
        <v>22</v>
      </c>
      <c r="H231">
        <f t="shared" si="3"/>
        <v>2022</v>
      </c>
    </row>
    <row r="232" spans="2:8" hidden="1">
      <c r="B232" s="1">
        <v>44783</v>
      </c>
      <c r="C232" t="s">
        <v>9</v>
      </c>
      <c r="D232" t="s">
        <v>7</v>
      </c>
      <c r="E232">
        <v>13</v>
      </c>
      <c r="F232">
        <v>320.79000000000002</v>
      </c>
      <c r="G232" t="s">
        <v>22</v>
      </c>
      <c r="H232">
        <f t="shared" si="3"/>
        <v>2022</v>
      </c>
    </row>
    <row r="233" spans="2:8" hidden="1">
      <c r="B233" s="1">
        <v>44755</v>
      </c>
      <c r="C233" t="s">
        <v>15</v>
      </c>
      <c r="D233" t="s">
        <v>23</v>
      </c>
      <c r="E233">
        <v>18</v>
      </c>
      <c r="F233">
        <v>431.39</v>
      </c>
      <c r="G233" t="s">
        <v>22</v>
      </c>
      <c r="H233">
        <f t="shared" si="3"/>
        <v>2022</v>
      </c>
    </row>
    <row r="234" spans="2:8" hidden="1">
      <c r="B234" s="1">
        <v>44617</v>
      </c>
      <c r="C234" t="s">
        <v>18</v>
      </c>
      <c r="D234" t="s">
        <v>20</v>
      </c>
      <c r="E234">
        <v>4</v>
      </c>
      <c r="F234">
        <v>67.5</v>
      </c>
      <c r="G234" t="s">
        <v>14</v>
      </c>
      <c r="H234">
        <f t="shared" si="3"/>
        <v>2022</v>
      </c>
    </row>
    <row r="235" spans="2:8" hidden="1">
      <c r="B235" s="1">
        <v>44769</v>
      </c>
      <c r="C235" t="s">
        <v>17</v>
      </c>
      <c r="D235" t="s">
        <v>19</v>
      </c>
      <c r="E235">
        <v>15</v>
      </c>
      <c r="F235">
        <v>220.62</v>
      </c>
      <c r="G235" t="s">
        <v>22</v>
      </c>
      <c r="H235">
        <f t="shared" si="3"/>
        <v>2022</v>
      </c>
    </row>
    <row r="236" spans="2:8" hidden="1">
      <c r="B236" s="1">
        <v>44786</v>
      </c>
      <c r="C236" t="s">
        <v>17</v>
      </c>
      <c r="D236" t="s">
        <v>23</v>
      </c>
      <c r="E236">
        <v>5</v>
      </c>
      <c r="F236">
        <v>97.52</v>
      </c>
      <c r="G236" t="s">
        <v>22</v>
      </c>
      <c r="H236">
        <f t="shared" si="3"/>
        <v>2022</v>
      </c>
    </row>
    <row r="237" spans="2:8" hidden="1">
      <c r="B237" s="1">
        <v>44800</v>
      </c>
      <c r="C237" t="s">
        <v>9</v>
      </c>
      <c r="D237" t="s">
        <v>10</v>
      </c>
      <c r="E237">
        <v>6</v>
      </c>
      <c r="F237">
        <v>112.49</v>
      </c>
      <c r="G237" t="s">
        <v>16</v>
      </c>
      <c r="H237">
        <f t="shared" si="3"/>
        <v>2022</v>
      </c>
    </row>
    <row r="238" spans="2:8" hidden="1">
      <c r="B238" s="1">
        <v>44638</v>
      </c>
      <c r="C238" t="s">
        <v>9</v>
      </c>
      <c r="D238" t="s">
        <v>24</v>
      </c>
      <c r="E238">
        <v>2</v>
      </c>
      <c r="F238">
        <v>45.57</v>
      </c>
      <c r="G238" t="s">
        <v>11</v>
      </c>
      <c r="H238">
        <f t="shared" si="3"/>
        <v>2022</v>
      </c>
    </row>
    <row r="239" spans="2:8" hidden="1">
      <c r="B239" s="1">
        <v>44759</v>
      </c>
      <c r="C239" t="s">
        <v>18</v>
      </c>
      <c r="D239" t="s">
        <v>10</v>
      </c>
      <c r="E239">
        <v>9</v>
      </c>
      <c r="F239">
        <v>100.77</v>
      </c>
      <c r="G239" t="s">
        <v>14</v>
      </c>
      <c r="H239">
        <f t="shared" si="3"/>
        <v>2022</v>
      </c>
    </row>
    <row r="240" spans="2:8" hidden="1">
      <c r="B240" s="1">
        <v>44680</v>
      </c>
      <c r="C240" t="s">
        <v>15</v>
      </c>
      <c r="D240" t="s">
        <v>10</v>
      </c>
      <c r="E240">
        <v>12</v>
      </c>
      <c r="F240">
        <v>295.77999999999997</v>
      </c>
      <c r="G240" t="s">
        <v>8</v>
      </c>
      <c r="H240">
        <f t="shared" si="3"/>
        <v>2022</v>
      </c>
    </row>
    <row r="241" spans="2:8" hidden="1">
      <c r="B241" s="1">
        <v>44719</v>
      </c>
      <c r="C241" t="s">
        <v>15</v>
      </c>
      <c r="D241" t="s">
        <v>23</v>
      </c>
      <c r="E241">
        <v>17</v>
      </c>
      <c r="F241">
        <v>381.45</v>
      </c>
      <c r="G241" t="s">
        <v>14</v>
      </c>
      <c r="H241">
        <f t="shared" si="3"/>
        <v>2022</v>
      </c>
    </row>
    <row r="242" spans="2:8">
      <c r="B242" s="1">
        <v>44595</v>
      </c>
      <c r="C242" t="s">
        <v>18</v>
      </c>
      <c r="D242" t="s">
        <v>7</v>
      </c>
      <c r="E242">
        <v>15</v>
      </c>
      <c r="F242">
        <v>191.54</v>
      </c>
      <c r="G242" t="s">
        <v>11</v>
      </c>
      <c r="H242">
        <f t="shared" si="3"/>
        <v>2022</v>
      </c>
    </row>
    <row r="243" spans="2:8" hidden="1">
      <c r="B243" s="1">
        <v>44712</v>
      </c>
      <c r="C243" t="s">
        <v>15</v>
      </c>
      <c r="D243" t="s">
        <v>13</v>
      </c>
      <c r="E243">
        <v>18</v>
      </c>
      <c r="F243">
        <v>309.25</v>
      </c>
      <c r="G243" t="s">
        <v>8</v>
      </c>
      <c r="H243">
        <f t="shared" si="3"/>
        <v>2022</v>
      </c>
    </row>
    <row r="244" spans="2:8" hidden="1">
      <c r="B244" s="1">
        <v>44717</v>
      </c>
      <c r="C244" t="s">
        <v>6</v>
      </c>
      <c r="D244" t="s">
        <v>23</v>
      </c>
      <c r="E244">
        <v>3</v>
      </c>
      <c r="F244">
        <v>48.59</v>
      </c>
      <c r="G244" t="s">
        <v>14</v>
      </c>
      <c r="H244">
        <f t="shared" si="3"/>
        <v>2022</v>
      </c>
    </row>
    <row r="245" spans="2:8" hidden="1">
      <c r="B245" s="1">
        <v>44587</v>
      </c>
      <c r="C245" t="s">
        <v>18</v>
      </c>
      <c r="D245" t="s">
        <v>19</v>
      </c>
      <c r="E245">
        <v>14</v>
      </c>
      <c r="F245">
        <v>141.91999999999999</v>
      </c>
      <c r="G245" t="s">
        <v>11</v>
      </c>
      <c r="H245">
        <f t="shared" si="3"/>
        <v>2022</v>
      </c>
    </row>
    <row r="246" spans="2:8" hidden="1">
      <c r="B246" s="1">
        <v>44798</v>
      </c>
      <c r="C246" t="s">
        <v>12</v>
      </c>
      <c r="D246" t="s">
        <v>24</v>
      </c>
      <c r="E246">
        <v>4</v>
      </c>
      <c r="F246">
        <v>67.94</v>
      </c>
      <c r="G246" t="s">
        <v>16</v>
      </c>
      <c r="H246">
        <f t="shared" si="3"/>
        <v>2022</v>
      </c>
    </row>
    <row r="247" spans="2:8" hidden="1">
      <c r="B247" s="1">
        <v>44575</v>
      </c>
      <c r="C247" t="s">
        <v>18</v>
      </c>
      <c r="D247" t="s">
        <v>10</v>
      </c>
      <c r="E247">
        <v>13</v>
      </c>
      <c r="F247">
        <v>289.57</v>
      </c>
      <c r="G247" t="s">
        <v>16</v>
      </c>
      <c r="H247">
        <f t="shared" si="3"/>
        <v>2022</v>
      </c>
    </row>
    <row r="248" spans="2:8" hidden="1">
      <c r="B248" s="1">
        <v>44643</v>
      </c>
      <c r="C248" t="s">
        <v>21</v>
      </c>
      <c r="D248" t="s">
        <v>20</v>
      </c>
      <c r="E248">
        <v>19</v>
      </c>
      <c r="F248">
        <v>335.15</v>
      </c>
      <c r="G248" t="s">
        <v>8</v>
      </c>
      <c r="H248">
        <f t="shared" si="3"/>
        <v>2022</v>
      </c>
    </row>
    <row r="249" spans="2:8" hidden="1">
      <c r="B249" s="1">
        <v>44776</v>
      </c>
      <c r="C249" t="s">
        <v>17</v>
      </c>
      <c r="D249" t="s">
        <v>24</v>
      </c>
      <c r="E249">
        <v>6</v>
      </c>
      <c r="F249">
        <v>88.2</v>
      </c>
      <c r="G249" t="s">
        <v>22</v>
      </c>
      <c r="H249">
        <f t="shared" si="3"/>
        <v>2022</v>
      </c>
    </row>
    <row r="250" spans="2:8" hidden="1">
      <c r="B250" s="1">
        <v>44656</v>
      </c>
      <c r="C250" t="s">
        <v>21</v>
      </c>
      <c r="D250" t="s">
        <v>13</v>
      </c>
      <c r="E250">
        <v>2</v>
      </c>
      <c r="F250">
        <v>47.92</v>
      </c>
      <c r="G250" t="s">
        <v>11</v>
      </c>
      <c r="H250">
        <f t="shared" si="3"/>
        <v>2022</v>
      </c>
    </row>
    <row r="251" spans="2:8" hidden="1">
      <c r="B251" s="1">
        <v>44589</v>
      </c>
      <c r="C251" t="s">
        <v>9</v>
      </c>
      <c r="D251" t="s">
        <v>23</v>
      </c>
      <c r="E251">
        <v>7</v>
      </c>
      <c r="F251">
        <v>65.17</v>
      </c>
      <c r="G251" t="s">
        <v>8</v>
      </c>
      <c r="H251">
        <f t="shared" si="3"/>
        <v>2022</v>
      </c>
    </row>
    <row r="252" spans="2:8">
      <c r="B252" s="1">
        <v>44592</v>
      </c>
      <c r="C252" t="s">
        <v>21</v>
      </c>
      <c r="D252" t="s">
        <v>7</v>
      </c>
      <c r="E252">
        <v>11</v>
      </c>
      <c r="F252">
        <v>155.16</v>
      </c>
      <c r="G252" t="s">
        <v>11</v>
      </c>
      <c r="H252">
        <f t="shared" si="3"/>
        <v>2022</v>
      </c>
    </row>
    <row r="253" spans="2:8" hidden="1">
      <c r="B253" s="1">
        <v>44613</v>
      </c>
      <c r="C253" t="s">
        <v>21</v>
      </c>
      <c r="D253" t="s">
        <v>24</v>
      </c>
      <c r="E253">
        <v>8</v>
      </c>
      <c r="F253">
        <v>197.83</v>
      </c>
      <c r="G253" t="s">
        <v>16</v>
      </c>
      <c r="H253">
        <f t="shared" si="3"/>
        <v>2022</v>
      </c>
    </row>
    <row r="254" spans="2:8" hidden="1">
      <c r="B254" s="1">
        <v>44622</v>
      </c>
      <c r="C254" t="s">
        <v>18</v>
      </c>
      <c r="D254" t="s">
        <v>10</v>
      </c>
      <c r="E254">
        <v>11</v>
      </c>
      <c r="F254">
        <v>204.72</v>
      </c>
      <c r="G254" t="s">
        <v>11</v>
      </c>
      <c r="H254">
        <f t="shared" si="3"/>
        <v>2022</v>
      </c>
    </row>
    <row r="255" spans="2:8" hidden="1">
      <c r="B255" s="1">
        <v>44622</v>
      </c>
      <c r="C255" t="s">
        <v>6</v>
      </c>
      <c r="D255" t="s">
        <v>7</v>
      </c>
      <c r="E255">
        <v>17</v>
      </c>
      <c r="F255">
        <v>316.18</v>
      </c>
      <c r="G255" t="s">
        <v>14</v>
      </c>
      <c r="H255">
        <f t="shared" si="3"/>
        <v>2022</v>
      </c>
    </row>
    <row r="256" spans="2:8" hidden="1">
      <c r="B256" s="1">
        <v>44612</v>
      </c>
      <c r="C256" t="s">
        <v>9</v>
      </c>
      <c r="D256" t="s">
        <v>24</v>
      </c>
      <c r="E256">
        <v>8</v>
      </c>
      <c r="F256">
        <v>81.36</v>
      </c>
      <c r="G256" t="s">
        <v>8</v>
      </c>
      <c r="H256">
        <f t="shared" si="3"/>
        <v>2022</v>
      </c>
    </row>
    <row r="257" spans="2:8" hidden="1">
      <c r="B257" s="1">
        <v>44633</v>
      </c>
      <c r="C257" t="s">
        <v>6</v>
      </c>
      <c r="D257" t="s">
        <v>7</v>
      </c>
      <c r="E257">
        <v>18</v>
      </c>
      <c r="F257">
        <v>315.74</v>
      </c>
      <c r="G257" t="s">
        <v>22</v>
      </c>
      <c r="H257">
        <f t="shared" si="3"/>
        <v>2022</v>
      </c>
    </row>
    <row r="258" spans="2:8" hidden="1">
      <c r="B258" s="1">
        <v>44594</v>
      </c>
      <c r="C258" t="s">
        <v>15</v>
      </c>
      <c r="D258" t="s">
        <v>24</v>
      </c>
      <c r="E258">
        <v>4</v>
      </c>
      <c r="F258">
        <v>88.26</v>
      </c>
      <c r="G258" t="s">
        <v>22</v>
      </c>
      <c r="H258">
        <f t="shared" ref="H258:H322" si="4">YEAR(B258)</f>
        <v>2022</v>
      </c>
    </row>
    <row r="259" spans="2:8" hidden="1">
      <c r="B259" s="1">
        <v>44762</v>
      </c>
      <c r="C259" t="s">
        <v>6</v>
      </c>
      <c r="D259" t="s">
        <v>19</v>
      </c>
      <c r="E259">
        <v>2</v>
      </c>
      <c r="F259">
        <v>28.36</v>
      </c>
      <c r="G259" t="s">
        <v>11</v>
      </c>
      <c r="H259">
        <f t="shared" si="4"/>
        <v>2022</v>
      </c>
    </row>
    <row r="260" spans="2:8" hidden="1">
      <c r="B260" s="1">
        <v>44684</v>
      </c>
      <c r="C260" t="s">
        <v>12</v>
      </c>
      <c r="D260" t="s">
        <v>10</v>
      </c>
      <c r="E260">
        <v>9</v>
      </c>
      <c r="F260">
        <v>138.31</v>
      </c>
      <c r="G260" t="s">
        <v>11</v>
      </c>
      <c r="H260">
        <f t="shared" si="4"/>
        <v>2022</v>
      </c>
    </row>
    <row r="261" spans="2:8" hidden="1">
      <c r="B261" s="1">
        <v>44683</v>
      </c>
      <c r="C261" t="s">
        <v>6</v>
      </c>
      <c r="D261" t="s">
        <v>24</v>
      </c>
      <c r="E261">
        <v>18</v>
      </c>
      <c r="F261">
        <v>260.35000000000002</v>
      </c>
      <c r="G261" t="s">
        <v>16</v>
      </c>
      <c r="H261">
        <f t="shared" si="4"/>
        <v>2022</v>
      </c>
    </row>
    <row r="262" spans="2:8" hidden="1">
      <c r="B262" s="1">
        <v>44737</v>
      </c>
      <c r="C262" t="s">
        <v>12</v>
      </c>
      <c r="D262" t="s">
        <v>19</v>
      </c>
      <c r="E262">
        <v>13</v>
      </c>
      <c r="F262">
        <v>227.31</v>
      </c>
      <c r="G262" t="s">
        <v>14</v>
      </c>
      <c r="H262">
        <f t="shared" si="4"/>
        <v>2022</v>
      </c>
    </row>
    <row r="263" spans="2:8" hidden="1">
      <c r="B263" s="1">
        <v>44798</v>
      </c>
      <c r="C263" t="s">
        <v>21</v>
      </c>
      <c r="D263" t="s">
        <v>23</v>
      </c>
      <c r="E263">
        <v>16</v>
      </c>
      <c r="F263">
        <v>130.5</v>
      </c>
      <c r="G263" t="s">
        <v>8</v>
      </c>
      <c r="H263">
        <f t="shared" si="4"/>
        <v>2022</v>
      </c>
    </row>
    <row r="264" spans="2:8" hidden="1">
      <c r="B264" s="1">
        <v>44769</v>
      </c>
      <c r="C264" t="s">
        <v>18</v>
      </c>
      <c r="D264" t="s">
        <v>7</v>
      </c>
      <c r="E264">
        <v>4</v>
      </c>
      <c r="F264">
        <v>86.5</v>
      </c>
      <c r="G264" t="s">
        <v>16</v>
      </c>
      <c r="H264">
        <f t="shared" si="4"/>
        <v>2022</v>
      </c>
    </row>
    <row r="265" spans="2:8" hidden="1">
      <c r="B265" s="1">
        <v>44799</v>
      </c>
      <c r="C265" t="s">
        <v>17</v>
      </c>
      <c r="D265" t="s">
        <v>10</v>
      </c>
      <c r="E265">
        <v>19</v>
      </c>
      <c r="F265">
        <v>364.12</v>
      </c>
      <c r="G265" t="s">
        <v>8</v>
      </c>
      <c r="H265">
        <f t="shared" si="4"/>
        <v>2022</v>
      </c>
    </row>
    <row r="266" spans="2:8" hidden="1">
      <c r="B266" s="1">
        <v>44694</v>
      </c>
      <c r="C266" t="s">
        <v>17</v>
      </c>
      <c r="D266" t="s">
        <v>10</v>
      </c>
      <c r="E266">
        <v>7</v>
      </c>
      <c r="F266">
        <v>134.85</v>
      </c>
      <c r="G266" t="s">
        <v>14</v>
      </c>
      <c r="H266">
        <f t="shared" si="4"/>
        <v>2022</v>
      </c>
    </row>
    <row r="267" spans="2:8" hidden="1">
      <c r="B267" s="1">
        <v>44604</v>
      </c>
      <c r="C267" t="s">
        <v>15</v>
      </c>
      <c r="D267" t="s">
        <v>20</v>
      </c>
      <c r="E267">
        <v>14</v>
      </c>
      <c r="F267">
        <v>290.45</v>
      </c>
      <c r="G267" t="s">
        <v>14</v>
      </c>
      <c r="H267">
        <f t="shared" si="4"/>
        <v>2022</v>
      </c>
    </row>
    <row r="268" spans="2:8" hidden="1">
      <c r="B268" s="1">
        <v>44634</v>
      </c>
      <c r="C268" t="s">
        <v>21</v>
      </c>
      <c r="D268" t="s">
        <v>24</v>
      </c>
      <c r="E268">
        <v>20</v>
      </c>
      <c r="F268">
        <v>244.72</v>
      </c>
      <c r="G268" t="s">
        <v>11</v>
      </c>
      <c r="H268">
        <f t="shared" si="4"/>
        <v>2022</v>
      </c>
    </row>
    <row r="269" spans="2:8" hidden="1">
      <c r="B269" s="1">
        <v>44723</v>
      </c>
      <c r="C269" t="s">
        <v>9</v>
      </c>
      <c r="D269" t="s">
        <v>7</v>
      </c>
      <c r="E269">
        <v>4</v>
      </c>
      <c r="F269">
        <v>75.989999999999995</v>
      </c>
      <c r="G269" t="s">
        <v>14</v>
      </c>
      <c r="H269">
        <f t="shared" si="4"/>
        <v>2022</v>
      </c>
    </row>
    <row r="270" spans="2:8" hidden="1">
      <c r="B270" s="1">
        <v>44623</v>
      </c>
      <c r="C270" t="s">
        <v>17</v>
      </c>
      <c r="D270" t="s">
        <v>19</v>
      </c>
      <c r="E270">
        <v>13</v>
      </c>
      <c r="F270">
        <v>318.33</v>
      </c>
      <c r="G270" t="s">
        <v>16</v>
      </c>
      <c r="H270">
        <f t="shared" si="4"/>
        <v>2022</v>
      </c>
    </row>
    <row r="271" spans="2:8" hidden="1">
      <c r="B271" s="1">
        <v>44568</v>
      </c>
      <c r="C271" t="s">
        <v>17</v>
      </c>
      <c r="D271" t="s">
        <v>20</v>
      </c>
      <c r="E271">
        <v>10</v>
      </c>
      <c r="F271">
        <v>220.07</v>
      </c>
      <c r="G271" t="s">
        <v>16</v>
      </c>
      <c r="H271">
        <f t="shared" si="4"/>
        <v>2022</v>
      </c>
    </row>
    <row r="272" spans="2:8" hidden="1">
      <c r="B272" s="1">
        <v>44574</v>
      </c>
      <c r="C272" t="s">
        <v>9</v>
      </c>
      <c r="D272" t="s">
        <v>19</v>
      </c>
      <c r="E272">
        <v>17</v>
      </c>
      <c r="F272">
        <v>311.83</v>
      </c>
      <c r="G272" t="s">
        <v>11</v>
      </c>
      <c r="H272">
        <f t="shared" si="4"/>
        <v>2022</v>
      </c>
    </row>
    <row r="273" spans="2:8" hidden="1">
      <c r="B273" s="1">
        <v>44588</v>
      </c>
      <c r="C273" t="s">
        <v>9</v>
      </c>
      <c r="D273" t="s">
        <v>24</v>
      </c>
      <c r="E273">
        <v>12</v>
      </c>
      <c r="F273">
        <v>158.5</v>
      </c>
      <c r="G273" t="s">
        <v>22</v>
      </c>
      <c r="H273">
        <f t="shared" si="4"/>
        <v>2022</v>
      </c>
    </row>
    <row r="274" spans="2:8" hidden="1">
      <c r="B274" s="1">
        <v>44749</v>
      </c>
      <c r="C274" t="s">
        <v>6</v>
      </c>
      <c r="D274" t="s">
        <v>23</v>
      </c>
      <c r="E274">
        <v>5</v>
      </c>
      <c r="F274">
        <v>57.11</v>
      </c>
      <c r="G274" t="s">
        <v>11</v>
      </c>
      <c r="H274">
        <f t="shared" si="4"/>
        <v>2022</v>
      </c>
    </row>
    <row r="275" spans="2:8" hidden="1">
      <c r="B275" s="1">
        <v>44605</v>
      </c>
      <c r="C275" t="s">
        <v>12</v>
      </c>
      <c r="D275" t="s">
        <v>19</v>
      </c>
      <c r="E275">
        <v>7</v>
      </c>
      <c r="F275">
        <v>125.02</v>
      </c>
      <c r="G275" t="s">
        <v>8</v>
      </c>
      <c r="H275">
        <f t="shared" si="4"/>
        <v>2022</v>
      </c>
    </row>
    <row r="276" spans="2:8" hidden="1">
      <c r="B276" s="1">
        <v>44659</v>
      </c>
      <c r="C276" t="s">
        <v>12</v>
      </c>
      <c r="D276" t="s">
        <v>23</v>
      </c>
      <c r="E276">
        <v>20</v>
      </c>
      <c r="F276">
        <v>494.08</v>
      </c>
      <c r="G276" t="s">
        <v>16</v>
      </c>
      <c r="H276">
        <f t="shared" si="4"/>
        <v>2022</v>
      </c>
    </row>
    <row r="277" spans="2:8" hidden="1">
      <c r="B277" s="1">
        <v>44744</v>
      </c>
      <c r="C277" t="s">
        <v>9</v>
      </c>
      <c r="D277" t="s">
        <v>19</v>
      </c>
      <c r="E277">
        <v>17</v>
      </c>
      <c r="F277">
        <v>374.2</v>
      </c>
      <c r="G277" t="s">
        <v>8</v>
      </c>
      <c r="H277">
        <f t="shared" si="4"/>
        <v>2022</v>
      </c>
    </row>
    <row r="278" spans="2:8" hidden="1">
      <c r="B278" s="1">
        <v>44606</v>
      </c>
      <c r="C278" t="s">
        <v>6</v>
      </c>
      <c r="D278" t="s">
        <v>10</v>
      </c>
      <c r="E278">
        <v>15</v>
      </c>
      <c r="F278">
        <v>312.47000000000003</v>
      </c>
      <c r="G278" t="s">
        <v>11</v>
      </c>
      <c r="H278">
        <f t="shared" si="4"/>
        <v>2022</v>
      </c>
    </row>
    <row r="279" spans="2:8" hidden="1">
      <c r="B279" s="1">
        <v>44757</v>
      </c>
      <c r="C279" t="s">
        <v>21</v>
      </c>
      <c r="D279" t="s">
        <v>13</v>
      </c>
      <c r="E279">
        <v>16</v>
      </c>
      <c r="F279">
        <v>371.27</v>
      </c>
      <c r="G279" t="s">
        <v>22</v>
      </c>
      <c r="H279">
        <f t="shared" si="4"/>
        <v>2022</v>
      </c>
    </row>
    <row r="280" spans="2:8">
      <c r="B280" s="1">
        <v>44583</v>
      </c>
      <c r="C280" t="s">
        <v>15</v>
      </c>
      <c r="D280" t="s">
        <v>7</v>
      </c>
      <c r="E280">
        <v>6</v>
      </c>
      <c r="F280">
        <v>68.209999999999994</v>
      </c>
      <c r="G280" t="s">
        <v>14</v>
      </c>
      <c r="H280">
        <f t="shared" si="4"/>
        <v>2022</v>
      </c>
    </row>
    <row r="281" spans="2:8" hidden="1">
      <c r="B281" s="1">
        <v>44608</v>
      </c>
      <c r="C281" t="s">
        <v>17</v>
      </c>
      <c r="D281" t="s">
        <v>23</v>
      </c>
      <c r="E281">
        <v>1</v>
      </c>
      <c r="F281">
        <v>8.77</v>
      </c>
      <c r="G281" t="s">
        <v>16</v>
      </c>
      <c r="H281">
        <f t="shared" si="4"/>
        <v>2022</v>
      </c>
    </row>
    <row r="282" spans="2:8" hidden="1">
      <c r="B282" s="1">
        <v>44795</v>
      </c>
      <c r="C282" t="s">
        <v>18</v>
      </c>
      <c r="D282" t="s">
        <v>20</v>
      </c>
      <c r="E282">
        <v>7</v>
      </c>
      <c r="F282">
        <v>146.37</v>
      </c>
      <c r="G282" t="s">
        <v>22</v>
      </c>
      <c r="H282">
        <f t="shared" si="4"/>
        <v>2022</v>
      </c>
    </row>
    <row r="283" spans="2:8" hidden="1">
      <c r="B283" s="1">
        <v>44696</v>
      </c>
      <c r="C283" t="s">
        <v>15</v>
      </c>
      <c r="D283" t="s">
        <v>13</v>
      </c>
      <c r="E283">
        <v>15</v>
      </c>
      <c r="F283">
        <v>273.64999999999998</v>
      </c>
      <c r="G283" t="s">
        <v>11</v>
      </c>
      <c r="H283">
        <f t="shared" si="4"/>
        <v>2022</v>
      </c>
    </row>
    <row r="284" spans="2:8" hidden="1">
      <c r="B284" s="1">
        <v>44757</v>
      </c>
      <c r="C284" t="s">
        <v>21</v>
      </c>
      <c r="D284" t="s">
        <v>24</v>
      </c>
      <c r="E284">
        <v>14</v>
      </c>
      <c r="F284">
        <v>185.36</v>
      </c>
      <c r="G284" t="s">
        <v>16</v>
      </c>
      <c r="H284">
        <f t="shared" si="4"/>
        <v>2022</v>
      </c>
    </row>
    <row r="285" spans="2:8" hidden="1">
      <c r="B285" s="1">
        <v>44622</v>
      </c>
      <c r="C285" t="s">
        <v>17</v>
      </c>
      <c r="D285" t="s">
        <v>20</v>
      </c>
      <c r="E285">
        <v>17</v>
      </c>
      <c r="F285">
        <v>219.07</v>
      </c>
      <c r="G285" t="s">
        <v>11</v>
      </c>
      <c r="H285">
        <f t="shared" si="4"/>
        <v>2022</v>
      </c>
    </row>
    <row r="286" spans="2:8" hidden="1">
      <c r="B286" s="1">
        <v>44568</v>
      </c>
      <c r="C286" t="s">
        <v>21</v>
      </c>
      <c r="D286" t="s">
        <v>24</v>
      </c>
      <c r="E286">
        <v>12</v>
      </c>
      <c r="F286">
        <v>134.44</v>
      </c>
      <c r="G286" t="s">
        <v>14</v>
      </c>
      <c r="H286">
        <f t="shared" si="4"/>
        <v>2022</v>
      </c>
    </row>
    <row r="287" spans="2:8" hidden="1">
      <c r="B287" s="1">
        <v>44603</v>
      </c>
      <c r="C287" t="s">
        <v>17</v>
      </c>
      <c r="D287" t="s">
        <v>23</v>
      </c>
      <c r="E287">
        <v>19</v>
      </c>
      <c r="F287">
        <v>474.65</v>
      </c>
      <c r="G287" t="s">
        <v>8</v>
      </c>
      <c r="H287">
        <f t="shared" si="4"/>
        <v>2022</v>
      </c>
    </row>
    <row r="288" spans="2:8" hidden="1">
      <c r="B288" s="1">
        <v>44597</v>
      </c>
      <c r="C288" t="s">
        <v>17</v>
      </c>
      <c r="D288" t="s">
        <v>10</v>
      </c>
      <c r="E288">
        <v>14</v>
      </c>
      <c r="F288">
        <v>289.68</v>
      </c>
      <c r="G288" t="s">
        <v>16</v>
      </c>
      <c r="H288">
        <f t="shared" si="4"/>
        <v>2022</v>
      </c>
    </row>
    <row r="289" spans="2:8" hidden="1">
      <c r="B289" s="1">
        <v>44678</v>
      </c>
      <c r="C289" t="s">
        <v>12</v>
      </c>
      <c r="D289" t="s">
        <v>24</v>
      </c>
      <c r="E289">
        <v>18</v>
      </c>
      <c r="F289">
        <v>401.63</v>
      </c>
      <c r="G289" t="s">
        <v>8</v>
      </c>
      <c r="H289">
        <f t="shared" si="4"/>
        <v>2022</v>
      </c>
    </row>
    <row r="290" spans="2:8" hidden="1">
      <c r="B290" s="1">
        <v>44636</v>
      </c>
      <c r="C290" t="s">
        <v>18</v>
      </c>
      <c r="D290" t="s">
        <v>24</v>
      </c>
      <c r="E290">
        <v>12</v>
      </c>
      <c r="F290">
        <v>123.89</v>
      </c>
      <c r="G290" t="s">
        <v>16</v>
      </c>
      <c r="H290">
        <f t="shared" si="4"/>
        <v>2022</v>
      </c>
    </row>
    <row r="291" spans="2:8" hidden="1">
      <c r="B291" s="1">
        <v>44759</v>
      </c>
      <c r="C291" t="s">
        <v>12</v>
      </c>
      <c r="D291" t="s">
        <v>20</v>
      </c>
      <c r="E291">
        <v>7</v>
      </c>
      <c r="F291">
        <v>140.54</v>
      </c>
      <c r="G291" t="s">
        <v>14</v>
      </c>
      <c r="H291">
        <f t="shared" si="4"/>
        <v>2022</v>
      </c>
    </row>
    <row r="292" spans="2:8" hidden="1">
      <c r="B292" s="1">
        <v>44766</v>
      </c>
      <c r="C292" t="s">
        <v>9</v>
      </c>
      <c r="D292" t="s">
        <v>19</v>
      </c>
      <c r="E292">
        <v>10</v>
      </c>
      <c r="F292">
        <v>209.65</v>
      </c>
      <c r="G292" t="s">
        <v>16</v>
      </c>
      <c r="H292">
        <f t="shared" si="4"/>
        <v>2022</v>
      </c>
    </row>
    <row r="293" spans="2:8">
      <c r="B293" s="1">
        <v>44579</v>
      </c>
      <c r="C293" t="s">
        <v>17</v>
      </c>
      <c r="D293" t="s">
        <v>7</v>
      </c>
      <c r="E293">
        <v>2</v>
      </c>
      <c r="F293">
        <v>33.090000000000003</v>
      </c>
      <c r="G293" t="s">
        <v>14</v>
      </c>
      <c r="H293">
        <f t="shared" si="4"/>
        <v>2022</v>
      </c>
    </row>
    <row r="294" spans="2:8" hidden="1">
      <c r="B294" s="1">
        <v>44766</v>
      </c>
      <c r="C294" t="s">
        <v>21</v>
      </c>
      <c r="D294" t="s">
        <v>13</v>
      </c>
      <c r="E294">
        <v>8</v>
      </c>
      <c r="F294">
        <v>157.03</v>
      </c>
      <c r="G294" t="s">
        <v>22</v>
      </c>
      <c r="H294">
        <f t="shared" si="4"/>
        <v>2022</v>
      </c>
    </row>
    <row r="295" spans="2:8" hidden="1">
      <c r="B295" s="1">
        <v>44768</v>
      </c>
      <c r="C295" t="s">
        <v>9</v>
      </c>
      <c r="D295" t="s">
        <v>19</v>
      </c>
      <c r="E295">
        <v>1</v>
      </c>
      <c r="F295">
        <v>17.670000000000002</v>
      </c>
      <c r="G295" t="s">
        <v>22</v>
      </c>
      <c r="H295">
        <f t="shared" si="4"/>
        <v>2022</v>
      </c>
    </row>
    <row r="296" spans="2:8" hidden="1">
      <c r="B296" s="1">
        <v>44715</v>
      </c>
      <c r="C296" t="s">
        <v>12</v>
      </c>
      <c r="D296" t="s">
        <v>19</v>
      </c>
      <c r="E296">
        <v>19</v>
      </c>
      <c r="F296">
        <v>341.45</v>
      </c>
      <c r="G296" t="s">
        <v>14</v>
      </c>
      <c r="H296">
        <f t="shared" si="4"/>
        <v>2022</v>
      </c>
    </row>
    <row r="297" spans="2:8" hidden="1">
      <c r="B297" s="1">
        <v>44717</v>
      </c>
      <c r="C297" t="s">
        <v>15</v>
      </c>
      <c r="D297" t="s">
        <v>19</v>
      </c>
      <c r="E297">
        <v>14</v>
      </c>
      <c r="F297">
        <v>194.98</v>
      </c>
      <c r="G297" t="s">
        <v>22</v>
      </c>
      <c r="H297">
        <f t="shared" si="4"/>
        <v>2022</v>
      </c>
    </row>
    <row r="298" spans="2:8" hidden="1">
      <c r="B298" s="1">
        <v>44785</v>
      </c>
      <c r="C298" t="s">
        <v>6</v>
      </c>
      <c r="D298" t="s">
        <v>13</v>
      </c>
      <c r="E298">
        <v>8</v>
      </c>
      <c r="F298">
        <v>78.790000000000006</v>
      </c>
      <c r="G298" t="s">
        <v>8</v>
      </c>
      <c r="H298">
        <f t="shared" si="4"/>
        <v>2022</v>
      </c>
    </row>
    <row r="299" spans="2:8" hidden="1">
      <c r="B299" s="1">
        <v>44728</v>
      </c>
      <c r="C299" t="s">
        <v>15</v>
      </c>
      <c r="D299" t="s">
        <v>7</v>
      </c>
      <c r="E299">
        <v>14</v>
      </c>
      <c r="F299">
        <v>131.03</v>
      </c>
      <c r="G299" t="s">
        <v>22</v>
      </c>
      <c r="H299">
        <f t="shared" si="4"/>
        <v>2022</v>
      </c>
    </row>
    <row r="300" spans="2:8" hidden="1">
      <c r="B300" s="1">
        <v>44588</v>
      </c>
      <c r="C300" t="s">
        <v>18</v>
      </c>
      <c r="D300" t="s">
        <v>24</v>
      </c>
      <c r="E300">
        <v>2</v>
      </c>
      <c r="F300">
        <v>33.67</v>
      </c>
      <c r="G300" t="s">
        <v>11</v>
      </c>
      <c r="H300">
        <f t="shared" si="4"/>
        <v>2022</v>
      </c>
    </row>
    <row r="301" spans="2:8" hidden="1">
      <c r="B301" s="1">
        <v>44716</v>
      </c>
      <c r="C301" t="s">
        <v>12</v>
      </c>
      <c r="D301" t="s">
        <v>19</v>
      </c>
      <c r="E301">
        <v>5</v>
      </c>
      <c r="F301">
        <v>41.09</v>
      </c>
      <c r="G301" t="s">
        <v>8</v>
      </c>
      <c r="H301">
        <f t="shared" si="4"/>
        <v>2022</v>
      </c>
    </row>
    <row r="302" spans="2:8" hidden="1">
      <c r="B302" s="1">
        <v>44735</v>
      </c>
      <c r="C302" t="s">
        <v>6</v>
      </c>
      <c r="D302" t="s">
        <v>13</v>
      </c>
      <c r="E302">
        <v>1</v>
      </c>
      <c r="F302">
        <v>17.39</v>
      </c>
      <c r="G302" t="s">
        <v>11</v>
      </c>
      <c r="H302">
        <f t="shared" si="4"/>
        <v>2022</v>
      </c>
    </row>
    <row r="303" spans="2:8" hidden="1">
      <c r="B303" s="1">
        <v>44756</v>
      </c>
      <c r="C303" t="s">
        <v>9</v>
      </c>
      <c r="D303" t="s">
        <v>23</v>
      </c>
      <c r="E303">
        <v>18</v>
      </c>
      <c r="F303">
        <v>364.2</v>
      </c>
      <c r="G303" t="s">
        <v>22</v>
      </c>
      <c r="H303">
        <f t="shared" si="4"/>
        <v>2022</v>
      </c>
    </row>
    <row r="304" spans="2:8">
      <c r="B304" s="1">
        <v>44577</v>
      </c>
      <c r="C304" t="s">
        <v>17</v>
      </c>
      <c r="D304" t="s">
        <v>7</v>
      </c>
      <c r="E304">
        <v>3</v>
      </c>
      <c r="F304">
        <v>27.98</v>
      </c>
      <c r="G304" t="s">
        <v>16</v>
      </c>
      <c r="H304">
        <f t="shared" si="4"/>
        <v>2022</v>
      </c>
    </row>
    <row r="305" spans="2:8" hidden="1">
      <c r="B305" s="1">
        <v>44764</v>
      </c>
      <c r="C305" t="s">
        <v>15</v>
      </c>
      <c r="D305" t="s">
        <v>20</v>
      </c>
      <c r="E305">
        <v>20</v>
      </c>
      <c r="F305">
        <v>479.93</v>
      </c>
      <c r="G305" t="s">
        <v>11</v>
      </c>
      <c r="H305">
        <f t="shared" si="4"/>
        <v>2022</v>
      </c>
    </row>
    <row r="306" spans="2:8" hidden="1">
      <c r="B306" s="1">
        <v>44697</v>
      </c>
      <c r="C306" t="s">
        <v>21</v>
      </c>
      <c r="D306" t="s">
        <v>19</v>
      </c>
      <c r="E306">
        <v>6</v>
      </c>
      <c r="F306">
        <v>136.59</v>
      </c>
      <c r="G306" t="s">
        <v>14</v>
      </c>
      <c r="H306">
        <f t="shared" si="4"/>
        <v>2022</v>
      </c>
    </row>
    <row r="307" spans="2:8" hidden="1">
      <c r="B307" s="1">
        <v>44799</v>
      </c>
      <c r="C307" t="s">
        <v>17</v>
      </c>
      <c r="D307" t="s">
        <v>23</v>
      </c>
      <c r="E307">
        <v>2</v>
      </c>
      <c r="F307">
        <v>45.31</v>
      </c>
      <c r="G307" t="s">
        <v>16</v>
      </c>
      <c r="H307">
        <f t="shared" si="4"/>
        <v>2022</v>
      </c>
    </row>
    <row r="308" spans="2:8" hidden="1">
      <c r="B308" s="1">
        <v>44629</v>
      </c>
      <c r="C308" t="s">
        <v>9</v>
      </c>
      <c r="D308" t="s">
        <v>23</v>
      </c>
      <c r="E308">
        <v>11</v>
      </c>
      <c r="F308">
        <v>246.17</v>
      </c>
      <c r="G308" t="s">
        <v>11</v>
      </c>
      <c r="H308">
        <f t="shared" si="4"/>
        <v>2022</v>
      </c>
    </row>
    <row r="309" spans="2:8" hidden="1">
      <c r="B309" s="1">
        <v>44574</v>
      </c>
      <c r="C309" t="s">
        <v>15</v>
      </c>
      <c r="D309" t="s">
        <v>13</v>
      </c>
      <c r="E309">
        <v>15</v>
      </c>
      <c r="F309">
        <v>362.44</v>
      </c>
      <c r="G309" t="s">
        <v>11</v>
      </c>
      <c r="H309">
        <f t="shared" si="4"/>
        <v>2022</v>
      </c>
    </row>
    <row r="310" spans="2:8">
      <c r="B310" s="1">
        <v>44572</v>
      </c>
      <c r="C310" t="s">
        <v>9</v>
      </c>
      <c r="D310" t="s">
        <v>7</v>
      </c>
      <c r="E310">
        <v>19</v>
      </c>
      <c r="F310">
        <v>210.77</v>
      </c>
      <c r="G310" t="s">
        <v>14</v>
      </c>
      <c r="H310">
        <f t="shared" si="4"/>
        <v>2022</v>
      </c>
    </row>
    <row r="311" spans="2:8" hidden="1">
      <c r="B311" s="1">
        <v>44678</v>
      </c>
      <c r="C311" t="s">
        <v>17</v>
      </c>
      <c r="D311" t="s">
        <v>24</v>
      </c>
      <c r="E311">
        <v>1</v>
      </c>
      <c r="F311">
        <v>16.87</v>
      </c>
      <c r="G311" t="s">
        <v>11</v>
      </c>
      <c r="H311">
        <f t="shared" si="4"/>
        <v>2022</v>
      </c>
    </row>
    <row r="312" spans="2:8">
      <c r="B312" s="1">
        <v>44568</v>
      </c>
      <c r="C312" t="s">
        <v>21</v>
      </c>
      <c r="D312" t="s">
        <v>7</v>
      </c>
      <c r="E312">
        <v>10</v>
      </c>
      <c r="F312">
        <v>161.56</v>
      </c>
      <c r="G312" t="s">
        <v>16</v>
      </c>
      <c r="H312">
        <f t="shared" si="4"/>
        <v>2022</v>
      </c>
    </row>
    <row r="313" spans="2:8" hidden="1">
      <c r="B313" s="1">
        <v>44613</v>
      </c>
      <c r="C313" t="s">
        <v>9</v>
      </c>
      <c r="D313" t="s">
        <v>10</v>
      </c>
      <c r="E313">
        <v>2</v>
      </c>
      <c r="F313">
        <v>26.91</v>
      </c>
      <c r="G313" t="s">
        <v>22</v>
      </c>
      <c r="H313">
        <f t="shared" si="4"/>
        <v>2022</v>
      </c>
    </row>
    <row r="314" spans="2:8" hidden="1">
      <c r="B314" s="1">
        <v>44777</v>
      </c>
      <c r="C314" t="s">
        <v>15</v>
      </c>
      <c r="D314" t="s">
        <v>19</v>
      </c>
      <c r="E314">
        <v>3</v>
      </c>
      <c r="F314">
        <v>59.95</v>
      </c>
      <c r="G314" t="s">
        <v>14</v>
      </c>
      <c r="H314">
        <f t="shared" si="4"/>
        <v>2022</v>
      </c>
    </row>
    <row r="315" spans="2:8" hidden="1">
      <c r="B315" s="1">
        <v>44678</v>
      </c>
      <c r="C315" t="s">
        <v>17</v>
      </c>
      <c r="D315" t="s">
        <v>10</v>
      </c>
      <c r="E315">
        <v>14</v>
      </c>
      <c r="F315">
        <v>183.32</v>
      </c>
      <c r="G315" t="s">
        <v>22</v>
      </c>
      <c r="H315">
        <f t="shared" si="4"/>
        <v>2022</v>
      </c>
    </row>
    <row r="316" spans="2:8" hidden="1">
      <c r="B316" s="1">
        <v>44605</v>
      </c>
      <c r="C316" t="s">
        <v>18</v>
      </c>
      <c r="D316" t="s">
        <v>20</v>
      </c>
      <c r="E316">
        <v>15</v>
      </c>
      <c r="F316">
        <v>321.39999999999998</v>
      </c>
      <c r="G316" t="s">
        <v>14</v>
      </c>
      <c r="H316">
        <f t="shared" si="4"/>
        <v>2022</v>
      </c>
    </row>
    <row r="317" spans="2:8" hidden="1">
      <c r="B317" s="1">
        <v>44643</v>
      </c>
      <c r="C317" t="s">
        <v>17</v>
      </c>
      <c r="D317" t="s">
        <v>23</v>
      </c>
      <c r="E317">
        <v>2</v>
      </c>
      <c r="F317">
        <v>31.15</v>
      </c>
      <c r="G317" t="s">
        <v>16</v>
      </c>
      <c r="H317">
        <f t="shared" si="4"/>
        <v>2022</v>
      </c>
    </row>
    <row r="318" spans="2:8" hidden="1">
      <c r="B318" s="1">
        <v>44687</v>
      </c>
      <c r="C318" t="s">
        <v>18</v>
      </c>
      <c r="D318" t="s">
        <v>23</v>
      </c>
      <c r="E318">
        <v>8</v>
      </c>
      <c r="F318">
        <v>89.9</v>
      </c>
      <c r="G318" t="s">
        <v>22</v>
      </c>
      <c r="H318">
        <f t="shared" si="4"/>
        <v>2022</v>
      </c>
    </row>
    <row r="319" spans="2:8" hidden="1">
      <c r="B319" s="1">
        <v>44676</v>
      </c>
      <c r="C319" t="s">
        <v>9</v>
      </c>
      <c r="D319" t="s">
        <v>20</v>
      </c>
      <c r="E319">
        <v>5</v>
      </c>
      <c r="F319">
        <v>64.41</v>
      </c>
      <c r="G319" t="s">
        <v>16</v>
      </c>
      <c r="H319">
        <f t="shared" si="4"/>
        <v>2022</v>
      </c>
    </row>
    <row r="320" spans="2:8" hidden="1">
      <c r="B320" s="1">
        <v>44648</v>
      </c>
      <c r="C320" t="s">
        <v>9</v>
      </c>
      <c r="D320" t="s">
        <v>7</v>
      </c>
      <c r="E320">
        <v>20</v>
      </c>
      <c r="F320">
        <v>186.45</v>
      </c>
      <c r="G320" t="s">
        <v>8</v>
      </c>
      <c r="H320">
        <f t="shared" si="4"/>
        <v>2022</v>
      </c>
    </row>
    <row r="321" spans="2:8" hidden="1">
      <c r="B321" s="1">
        <v>44790</v>
      </c>
      <c r="C321" t="s">
        <v>18</v>
      </c>
      <c r="D321" t="s">
        <v>23</v>
      </c>
      <c r="E321">
        <v>19</v>
      </c>
      <c r="F321">
        <v>468.28</v>
      </c>
      <c r="G321" t="s">
        <v>8</v>
      </c>
      <c r="H321">
        <f t="shared" si="4"/>
        <v>2022</v>
      </c>
    </row>
    <row r="322" spans="2:8" hidden="1">
      <c r="B322" s="1">
        <v>44802</v>
      </c>
      <c r="C322" t="s">
        <v>6</v>
      </c>
      <c r="D322" t="s">
        <v>10</v>
      </c>
      <c r="E322">
        <v>9</v>
      </c>
      <c r="F322">
        <v>188.06</v>
      </c>
      <c r="G322" t="s">
        <v>16</v>
      </c>
      <c r="H322">
        <f t="shared" si="4"/>
        <v>2022</v>
      </c>
    </row>
    <row r="323" spans="2:8" hidden="1">
      <c r="B323" s="1">
        <v>44715</v>
      </c>
      <c r="C323" t="s">
        <v>9</v>
      </c>
      <c r="D323" t="s">
        <v>7</v>
      </c>
      <c r="E323">
        <v>4</v>
      </c>
      <c r="F323">
        <v>48.71</v>
      </c>
      <c r="G323" t="s">
        <v>11</v>
      </c>
      <c r="H323">
        <f t="shared" ref="H323:H334" si="5">YEAR(B323)</f>
        <v>2022</v>
      </c>
    </row>
    <row r="324" spans="2:8" hidden="1">
      <c r="B324" s="1">
        <v>44663</v>
      </c>
      <c r="C324" t="s">
        <v>17</v>
      </c>
      <c r="D324" t="s">
        <v>20</v>
      </c>
      <c r="E324">
        <v>18</v>
      </c>
      <c r="F324">
        <v>161.49</v>
      </c>
      <c r="G324" t="s">
        <v>8</v>
      </c>
      <c r="H324">
        <f t="shared" si="5"/>
        <v>2022</v>
      </c>
    </row>
    <row r="325" spans="2:8" hidden="1">
      <c r="B325" s="1">
        <v>44608</v>
      </c>
      <c r="C325" t="s">
        <v>9</v>
      </c>
      <c r="D325" t="s">
        <v>10</v>
      </c>
      <c r="E325">
        <v>5</v>
      </c>
      <c r="F325">
        <v>120.28</v>
      </c>
      <c r="G325" t="s">
        <v>16</v>
      </c>
      <c r="H325">
        <f t="shared" si="5"/>
        <v>2022</v>
      </c>
    </row>
    <row r="326" spans="2:8" hidden="1">
      <c r="B326" s="1">
        <v>44568</v>
      </c>
      <c r="C326" t="s">
        <v>9</v>
      </c>
      <c r="D326" t="s">
        <v>20</v>
      </c>
      <c r="E326">
        <v>8</v>
      </c>
      <c r="F326">
        <v>149.88999999999999</v>
      </c>
      <c r="G326" t="s">
        <v>11</v>
      </c>
      <c r="H326">
        <f t="shared" si="5"/>
        <v>2022</v>
      </c>
    </row>
    <row r="327" spans="2:8" hidden="1">
      <c r="B327" s="1">
        <v>44779</v>
      </c>
      <c r="C327" t="s">
        <v>18</v>
      </c>
      <c r="D327" t="s">
        <v>23</v>
      </c>
      <c r="E327">
        <v>9</v>
      </c>
      <c r="F327">
        <v>128.33000000000001</v>
      </c>
      <c r="G327" t="s">
        <v>8</v>
      </c>
      <c r="H327">
        <f t="shared" si="5"/>
        <v>2022</v>
      </c>
    </row>
    <row r="328" spans="2:8" hidden="1">
      <c r="B328" s="1">
        <v>44765</v>
      </c>
      <c r="C328" t="s">
        <v>9</v>
      </c>
      <c r="D328" t="s">
        <v>10</v>
      </c>
      <c r="E328">
        <v>4</v>
      </c>
      <c r="F328">
        <v>73.27</v>
      </c>
      <c r="G328" t="s">
        <v>16</v>
      </c>
      <c r="H328">
        <f t="shared" si="5"/>
        <v>2022</v>
      </c>
    </row>
    <row r="329" spans="2:8" hidden="1">
      <c r="B329" s="1">
        <v>44774</v>
      </c>
      <c r="C329" t="s">
        <v>15</v>
      </c>
      <c r="D329" t="s">
        <v>19</v>
      </c>
      <c r="E329">
        <v>5</v>
      </c>
      <c r="F329">
        <v>103.86</v>
      </c>
      <c r="G329" t="s">
        <v>22</v>
      </c>
      <c r="H329">
        <f t="shared" si="5"/>
        <v>2022</v>
      </c>
    </row>
    <row r="330" spans="2:8" hidden="1">
      <c r="B330" s="1">
        <v>44600</v>
      </c>
      <c r="C330" t="s">
        <v>15</v>
      </c>
      <c r="D330" t="s">
        <v>20</v>
      </c>
      <c r="E330">
        <v>15</v>
      </c>
      <c r="F330">
        <v>302.45999999999998</v>
      </c>
      <c r="G330" t="s">
        <v>14</v>
      </c>
      <c r="H330">
        <f t="shared" si="5"/>
        <v>2022</v>
      </c>
    </row>
    <row r="331" spans="2:8" hidden="1">
      <c r="B331" s="1">
        <v>44801</v>
      </c>
      <c r="C331" t="s">
        <v>21</v>
      </c>
      <c r="D331" t="s">
        <v>24</v>
      </c>
      <c r="E331">
        <v>3</v>
      </c>
      <c r="F331">
        <v>52.5</v>
      </c>
      <c r="G331" t="s">
        <v>22</v>
      </c>
      <c r="H331">
        <f t="shared" si="5"/>
        <v>2022</v>
      </c>
    </row>
    <row r="332" spans="2:8" hidden="1">
      <c r="B332" s="1">
        <v>44668</v>
      </c>
      <c r="C332" t="s">
        <v>18</v>
      </c>
      <c r="D332" t="s">
        <v>7</v>
      </c>
      <c r="E332">
        <v>5</v>
      </c>
      <c r="F332">
        <v>65.67</v>
      </c>
      <c r="G332" t="s">
        <v>14</v>
      </c>
      <c r="H332">
        <f t="shared" si="5"/>
        <v>2022</v>
      </c>
    </row>
    <row r="333" spans="2:8" hidden="1">
      <c r="B333" s="1">
        <v>44566</v>
      </c>
      <c r="C333" t="s">
        <v>17</v>
      </c>
      <c r="D333" t="s">
        <v>24</v>
      </c>
      <c r="E333">
        <v>17</v>
      </c>
      <c r="F333">
        <v>247.43</v>
      </c>
      <c r="G333" t="s">
        <v>16</v>
      </c>
      <c r="H333">
        <f t="shared" si="5"/>
        <v>2022</v>
      </c>
    </row>
    <row r="334" spans="2:8" hidden="1">
      <c r="B334" s="1">
        <v>44784</v>
      </c>
      <c r="C334" t="s">
        <v>15</v>
      </c>
      <c r="D334" t="s">
        <v>23</v>
      </c>
      <c r="E334">
        <v>3</v>
      </c>
      <c r="F334">
        <v>65.98</v>
      </c>
      <c r="G334" t="s">
        <v>14</v>
      </c>
      <c r="H334">
        <f t="shared" si="5"/>
        <v>2022</v>
      </c>
    </row>
  </sheetData>
  <autoFilter ref="B1:H334" xr:uid="{2F3C3D5E-BEA5-41DA-9992-C40C9CBF52A7}">
    <filterColumn colId="0">
      <filters>
        <dateGroupItem year="2022" month="1" dateTimeGrouping="month"/>
        <dateGroupItem year="2022" month="2" dateTimeGrouping="month"/>
      </filters>
    </filterColumn>
    <filterColumn colId="2">
      <filters>
        <filter val="Divya Mehra"/>
      </filters>
    </filterColumn>
    <sortState xmlns:xlrd2="http://schemas.microsoft.com/office/spreadsheetml/2017/richdata2" ref="B2:H312">
      <sortCondition descending="1" ref="B1:B33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2</vt:lpstr>
      <vt:lpstr>Dashboard</vt:lpstr>
      <vt:lpstr>Pivot (2)</vt:lpstr>
      <vt:lpstr>Pivot</vt:lpstr>
      <vt:lpstr>Master Data</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Vineet Tandel</dc:creator>
  <cp:lastModifiedBy>Vineet Tandel</cp:lastModifiedBy>
  <dcterms:created xsi:type="dcterms:W3CDTF">2026-03-31T22:26:54Z</dcterms:created>
  <dcterms:modified xsi:type="dcterms:W3CDTF">2026-04-20T13:54:32Z</dcterms:modified>
</cp:coreProperties>
</file>