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e2859f794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0121653f524ce2"/>
    <x:sheet xmlns:r="http://schemas.openxmlformats.org/officeDocument/2006/relationships" name="Data" sheetId="2" r:id="R767bcc3cd1634545"/>
    <x:sheet xmlns:r="http://schemas.openxmlformats.org/officeDocument/2006/relationships" name="Data Dictionary" sheetId="3" r:id="R8ee1a926c9ca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$#,##0.00"/>
    <x:numFmt numFmtId="202" formatCode="0.0%"/>
    <x:numFmt numFmtId="203" formatCode="$#,##0"/>
    <x:numFmt numFmtId="204" formatCode="#,##0"/>
    <x:numFmt numFmtId="205" formatCode="0"/>
    <x:numFmt numFmtId="206" formatCode="mmm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415466"/>
      <x:name val="Carlito"/>
    </x:font>
    <x:font>
      <x:b/>
      <x:sz val="18"/>
      <x:color rgb="FF17324D"/>
      <x:name val="Carlito"/>
    </x:font>
    <x:font>
      <x:b/>
      <x:sz val="10"/>
      <x:color rgb="FF17324D"/>
      <x:name val="Carlito"/>
    </x:font>
    <x:font>
      <x:i/>
      <x:sz val="11"/>
      <x:color rgb="FF52637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FFFFFF"/>
      </x:patternFill>
    </x:fill>
    <x:fill>
      <x:patternFill patternType="solid">
        <x:fgColor rgb="FFDDE7EF"/>
      </x:patternFill>
    </x:fill>
    <x:fill>
      <x:patternFill patternType="solid">
        <x:fgColor rgb="FFF5F7F9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4" fillId="4" borderId="15" xfId="0" applyNumberFormat="1" applyFont="1" applyFill="1" applyBorder="1" applyAlignment="1">
      <x:alignment horizontal="center" vertic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4" fillId="4" borderId="17" xfId="0" applyNumberFormat="1" applyFont="1" applyFill="1" applyBorder="1" applyAlignment="1">
      <x:alignment horizontal="center" vertical="center"/>
    </x:xf>
    <x:xf numFmtId="203" fontId="4" fillId="4" borderId="2" xfId="0" applyNumberFormat="1" applyFont="1" applyFill="1" applyBorder="1" applyAlignment="1">
      <x:alignment horizontal="center" vertical="center"/>
    </x:xf>
    <x:xf numFmtId="203" fontId="4" fillId="4" borderId="10" xfId="0" applyNumberFormat="1" applyFont="1" applyFill="1" applyBorder="1" applyAlignment="1">
      <x:alignment horizontal="center" vertical="center"/>
    </x:xf>
    <x:xf numFmtId="204" fontId="4" fillId="4" borderId="2" xfId="0" applyNumberFormat="1" applyFont="1" applyFill="1" applyBorder="1" applyAlignment="1">
      <x:alignment horizontal="center" vertical="center"/>
    </x:xf>
    <x:xf numFmtId="204" fontId="4" fillId="4" borderId="10" xfId="0" applyNumberFormat="1" applyFont="1" applyFill="1" applyBorder="1" applyAlignment="1">
      <x:alignment horizontal="center" vertical="center"/>
    </x:xf>
    <x:xf numFmtId="202" fontId="4" fillId="4" borderId="2" xfId="0" applyNumberFormat="1" applyFont="1" applyFill="1" applyBorder="1" applyAlignment="1">
      <x:alignment horizontal="center" vertical="center"/>
    </x:xf>
    <x:xf numFmtId="202" fontId="4" fillId="4" borderId="10" xfId="0" applyNumberFormat="1" applyFont="1" applyFill="1" applyBorder="1" applyAlignment="1">
      <x:alignment horizontal="center" vertical="center"/>
    </x:xf>
    <x:xf numFmtId="205" fontId="4" fillId="4" borderId="2" xfId="0" applyNumberFormat="1" applyFont="1" applyFill="1" applyBorder="1" applyAlignment="1">
      <x:alignment horizontal="center" vertical="center"/>
    </x:xf>
    <x:xf numFmtId="205" fontId="4" fillId="4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18" xfId="0" applyNumberFormat="1" applyFont="1" applyFill="1" applyBorder="1" applyAlignment="1">
      <x:alignment horizontal="center" vertical="center"/>
    </x:xf>
    <x:xf numFmtId="0" fontId="1" fillId="2" borderId="19" xfId="0" applyNumberFormat="1" applyFont="1" applyFill="1" applyBorder="1" applyAlignment="1">
      <x:alignment horizontal="center" vertical="center"/>
    </x:xf>
    <x:xf numFmtId="0" fontId="1" fillId="2" borderId="20" xfId="0" applyNumberFormat="1" applyFont="1" applyFill="1" applyBorder="1" applyAlignment="1">
      <x:alignment horizontal="center" vertical="center"/>
    </x:xf>
    <x:xf numFmtId="206" fontId="0" fillId="0" borderId="21" xfId="0" applyNumberFormat="1" applyFont="1" applyFill="1" applyBorder="1"/>
    <x:xf numFmtId="202" fontId="0" fillId="0" borderId="22" xfId="0" applyNumberFormat="1" applyFont="1" applyFill="1" applyBorder="1"/>
    <x:xf numFmtId="206" fontId="0" fillId="0" borderId="23" xfId="0" applyNumberFormat="1" applyFont="1" applyFill="1" applyBorder="1"/>
    <x:xf numFmtId="203" fontId="0" fillId="0" borderId="24" xfId="0" applyNumberFormat="1" applyFont="1" applyFill="1" applyBorder="1"/>
    <x:xf numFmtId="202" fontId="0" fillId="0" borderId="25" xfId="0" applyNumberFormat="1" applyFont="1" applyFill="1" applyBorder="1"/>
    <x:xf numFmtId="0" fontId="1" fillId="2" borderId="26" xfId="0" applyNumberFormat="1" applyFont="1" applyFill="1" applyBorder="1" applyAlignment="1">
      <x:alignment horizontal="center" vertical="center"/>
    </x:xf>
    <x:xf numFmtId="0" fontId="1" fillId="2" borderId="27" xfId="0" applyNumberFormat="1" applyFont="1" applyFill="1" applyBorder="1" applyAlignment="1">
      <x:alignment horizontal="center" vertical="center"/>
    </x:xf>
    <x:xf numFmtId="0" fontId="1" fillId="2" borderId="28" xfId="0" applyNumberFormat="1" applyFont="1" applyFill="1" applyBorder="1" applyAlignment="1">
      <x:alignment horizontal="center" vertical="center"/>
    </x:xf>
    <x:xf numFmtId="206" fontId="0" fillId="0" borderId="29" xfId="0" applyNumberFormat="1" applyFont="1" applyFill="1" applyBorder="1"/>
    <x:xf numFmtId="202" fontId="0" fillId="0" borderId="30" xfId="0" applyNumberFormat="1" applyFont="1" applyFill="1" applyBorder="1"/>
    <x:xf numFmtId="206" fontId="0" fillId="0" borderId="31" xfId="0" applyNumberFormat="1" applyFont="1" applyFill="1" applyBorder="1"/>
    <x:xf numFmtId="203" fontId="0" fillId="0" borderId="32" xfId="0" applyNumberFormat="1" applyFont="1" applyFill="1" applyBorder="1"/>
    <x:xf numFmtId="202" fontId="0" fillId="0" borderId="33" xfId="0" applyNumberFormat="1" applyFont="1" applyFill="1" applyBorder="1"/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0" fontId="0" fillId="0" borderId="29" xfId="0" applyNumberFormat="1" applyFont="1" applyFill="1" applyBorder="1"/>
    <x:xf numFmtId="0" fontId="0" fillId="0" borderId="3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1f960a4464705" /><Relationship Type="http://schemas.openxmlformats.org/officeDocument/2006/relationships/theme" Target="/xl/theme/theme1.xml" Id="Rd5323aa7666a4792" /><Relationship Type="http://schemas.openxmlformats.org/officeDocument/2006/relationships/sharedStrings" Target="/xl/sharedStrings.xml" Id="R581861f231624a5b" /><Relationship Type="http://schemas.openxmlformats.org/officeDocument/2006/relationships/worksheet" Target="/xl/worksheets/sheet1.xml" Id="R070121653f524ce2" /><Relationship Type="http://schemas.openxmlformats.org/officeDocument/2006/relationships/worksheet" Target="/xl/worksheets/sheet2.xml" Id="R767bcc3cd1634545" /><Relationship Type="http://schemas.openxmlformats.org/officeDocument/2006/relationships/worksheet" Target="/xl/worksheets/sheet3.xml" Id="R8ee1a926c9ca43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7ed615f6d54ce8" /><Relationship Type="http://schemas.openxmlformats.org/officeDocument/2006/relationships/chart" Target="/xl/drawings/charts/chart2.xml" Id="Ra07fcf9f0cbc4e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Sales</c:v>
          </c:tx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'Dashboard'!$E$11:$E$16</c:f>
              <c:strCache>
                <c:ptCount val="0"/>
              </c:strCache>
            </c:strRef>
          </c:cat>
          <c:val>
            <c:numRef>
              <c:f>'Dashboard'!$F$11:$F$16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7ed615f6d54ce8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fcf9f0cbc4e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Data" displayName="InventoryData" ref="A1:K361" headerRowCount="1">
  <x:tableColumns count="11">
    <x:tableColumn id="1" name="Month"/>
    <x:tableColumn id="2" name="Store"/>
    <x:tableColumn id="3" name="Region"/>
    <x:tableColumn id="4" name="Category"/>
    <x:tableColumn id="5" name="Planned SKUs"/>
    <x:tableColumn id="6" name="In-Stock SKUs"/>
    <x:tableColumn id="7" name="Units Sold"/>
    <x:tableColumn id="8" name="Avg Unit Price"/>
    <x:tableColumn id="9" name="Sales Amount"/>
    <x:tableColumn id="10" name="Availability %"/>
    <x:tableColumn id="11" name="Stockout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28362dd6e14e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a0c5a518414ab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" hidden="0" customWidth="1"/>
  </x:cols>
  <x:sheetData>
    <x:row r="1">
      <x:c r="A1" s="24" t="str">
        <x:v>Inventory Performance Dashboard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3">
      <x:c r="A3" s="31" t="str">
        <x:v>Practice project using mock retail data | Excel formulas, summary tables and charts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103" t="str">
        <x:v>TOTAL SALES</x:v>
      </x:c>
      <x:c r="B4" s="103"/>
      <x:c r="C4" s="103"/>
      <x:c r="D4" s="103" t="str">
        <x:v>UNITS SOLD</x:v>
      </x:c>
      <x:c r="E4" s="103"/>
      <x:c r="F4" s="103"/>
      <x:c r="G4" s="103" t="str">
        <x:v>AVERAGE AVAILABILITY</x:v>
      </x:c>
      <x:c r="H4" s="103"/>
      <x:c r="I4" s="103"/>
      <x:c r="J4" s="103" t="str">
        <x:v>STOCKOUT RECORDS</x:v>
      </x:c>
      <x:c r="K4" s="103"/>
      <x:c r="L4" s="103"/>
    </x:row>
    <x:row r="5">
      <x:c r="A5" s="92" t="n">
        <x:f>SUM(Data!I2:I361)</x:f>
        <x:v>677309.0500000002</x:v>
      </x:c>
      <x:c r="B5" s="56"/>
      <x:c r="C5" s="57"/>
      <x:c r="D5" s="94" t="n">
        <x:f>SUM(Data!G2:G361)</x:f>
        <x:v>44710</x:v>
      </x:c>
      <x:c r="E5" s="56"/>
      <x:c r="F5" s="57"/>
      <x:c r="G5" s="96" t="n">
        <x:f>AVERAGE(Data!J2:J361)</x:f>
        <x:v>0.9332963700368341</x:v>
      </x:c>
      <x:c r="H5" s="56"/>
      <x:c r="I5" s="57"/>
      <x:c r="J5" s="98" t="n">
        <x:f>COUNTIF(Data!K2:K361,"Stockout")</x:f>
        <x:v>82</x:v>
      </x:c>
      <x:c r="K5" s="56"/>
      <x:c r="L5" s="57"/>
    </x:row>
    <x:row r="6">
      <x:c r="A6" s="58"/>
      <x:c r="B6" s="59"/>
      <x:c r="C6" s="60"/>
      <x:c r="D6" s="58"/>
      <x:c r="E6" s="59"/>
      <x:c r="F6" s="60"/>
      <x:c r="G6" s="58"/>
      <x:c r="H6" s="59"/>
      <x:c r="I6" s="60"/>
      <x:c r="J6" s="58"/>
      <x:c r="K6" s="59"/>
      <x:c r="L6" s="60"/>
    </x:row>
    <x:row r="7">
      <x:c r="A7" s="61"/>
      <x:c r="B7" s="62"/>
      <x:c r="C7" s="63"/>
      <x:c r="D7" s="61"/>
      <x:c r="E7" s="62"/>
      <x:c r="F7" s="63"/>
      <x:c r="G7" s="61"/>
      <x:c r="H7" s="62"/>
      <x:c r="I7" s="63"/>
      <x:c r="J7" s="61"/>
      <x:c r="K7" s="62"/>
      <x:c r="L7" s="63"/>
    </x:row>
    <x:row r="10">
      <x:c r="A10" s="114" t="str">
        <x:v>Month</x:v>
      </x:c>
      <x:c r="B10" s="115" t="str">
        <x:v>Sales</x:v>
      </x:c>
      <x:c r="C10" s="116" t="str">
        <x:v>Availability</x:v>
      </x:c>
      <x:c r="E10" s="114" t="str">
        <x:v>Category</x:v>
      </x:c>
      <x:c r="F10" s="115" t="str">
        <x:v>Sales</x:v>
      </x:c>
      <x:c r="G10" s="116" t="str">
        <x:v>Availability</x:v>
      </x:c>
      <x:c r="I10" s="114" t="str">
        <x:v>Store</x:v>
      </x:c>
      <x:c r="J10" s="115" t="str">
        <x:v>Sales</x:v>
      </x:c>
      <x:c r="K10" s="116" t="str">
        <x:v>Availability</x:v>
      </x:c>
      <x:c r="M10" t="str">
        <x:v>Helper Month</x:v>
      </x:c>
    </x:row>
    <x:row r="11">
      <x:c r="A11" s="117" t="str">
        <x:v>Jan</x:v>
      </x:c>
      <x:c r="B11" s="110" t="n">
        <x:f>SUMIFS(Data!$I$2:$I$361,Data!$A$2:$A$361,$M11)</x:f>
        <x:v>101987.88999999998</x:v>
      </x:c>
      <x:c r="C11" s="118" t="n">
        <x:f>AVERAGEIFS(Data!$J$2:$J$361,Data!$A$2:$A$361,$M11)</x:f>
        <x:v>0.9176615591234207</x:v>
      </x:c>
      <x:c r="E11" s="130" t="str">
        <x:v>Pain Relief</x:v>
      </x:c>
      <x:c r="F11" s="110" t="n">
        <x:f>SUMIFS(Data!$I$2:$I$361,Data!$D$2:$D$361,E11)</x:f>
        <x:v>102474.78000000003</x:v>
      </x:c>
      <x:c r="G11" s="118" t="n">
        <x:f>AVERAGEIFS(Data!$J$2:$J$361,Data!$D$2:$D$361,E11)</x:f>
        <x:v>0.9362478620965715</x:v>
      </x:c>
      <x:c r="I11" s="130" t="str">
        <x:v>Store 101</x:v>
      </x:c>
      <x:c r="J11" s="110" t="n">
        <x:f>SUMIFS(Data!$I$2:$I$361,Data!$B$2:$B$361,I11)</x:f>
        <x:v>65062.43999999999</x:v>
      </x:c>
      <x:c r="K11" s="118" t="n">
        <x:f>AVERAGEIFS(Data!$J$2:$J$361,Data!$B$2:$B$361,I11)</x:f>
        <x:v>0.931658375623296</x:v>
      </x:c>
      <x:c r="M11" s="142" t="n">
        <x:v>46023</x:v>
      </x:c>
    </x:row>
    <x:row r="12">
      <x:c r="A12" s="117" t="str">
        <x:v>Feb</x:v>
      </x:c>
      <x:c r="B12" s="110" t="n">
        <x:f>SUMIFS(Data!$I$2:$I$361,Data!$A$2:$A$361,$M12)</x:f>
        <x:v>109045.61000000002</x:v>
      </x:c>
      <x:c r="C12" s="118" t="n">
        <x:f>AVERAGEIFS(Data!$J$2:$J$361,Data!$A$2:$A$361,$M12)</x:f>
        <x:v>0.933200200547466</x:v>
      </x:c>
      <x:c r="E12" s="130" t="str">
        <x:v>Cold &amp; Cough</x:v>
      </x:c>
      <x:c r="F12" s="110" t="n">
        <x:f>SUMIFS(Data!$I$2:$I$361,Data!$D$2:$D$361,E12)</x:f>
        <x:v>107404.76</x:v>
      </x:c>
      <x:c r="G12" s="118" t="n">
        <x:f>AVERAGEIFS(Data!$J$2:$J$361,Data!$D$2:$D$361,E12)</x:f>
        <x:v>0.9233780288270949</x:v>
      </x:c>
      <x:c r="I12" s="130" t="str">
        <x:v>Store 102</x:v>
      </x:c>
      <x:c r="J12" s="110" t="n">
        <x:f>SUMIFS(Data!$I$2:$I$361,Data!$B$2:$B$361,I12)</x:f>
        <x:v>69282.81999999998</x:v>
      </x:c>
      <x:c r="K12" s="118" t="n">
        <x:f>AVERAGEIFS(Data!$J$2:$J$361,Data!$B$2:$B$361,I12)</x:f>
        <x:v>0.9381037060655159</x:v>
      </x:c>
      <x:c r="M12" s="142" t="n">
        <x:v>46054</x:v>
      </x:c>
    </x:row>
    <x:row r="13">
      <x:c r="A13" s="117" t="str">
        <x:v>Mar</x:v>
      </x:c>
      <x:c r="B13" s="110" t="n">
        <x:f>SUMIFS(Data!$I$2:$I$361,Data!$A$2:$A$361,$M13)</x:f>
        <x:v>107320.04</x:v>
      </x:c>
      <x:c r="C13" s="118" t="n">
        <x:f>AVERAGEIFS(Data!$J$2:$J$361,Data!$A$2:$A$361,$M13)</x:f>
        <x:v>0.9296261050908965</x:v>
      </x:c>
      <x:c r="E13" s="130" t="str">
        <x:v>Digestive Care</x:v>
      </x:c>
      <x:c r="F13" s="110" t="n">
        <x:f>SUMIFS(Data!$I$2:$I$361,Data!$D$2:$D$361,E13)</x:f>
        <x:v>137559.30000000002</x:v>
      </x:c>
      <x:c r="G13" s="118" t="n">
        <x:f>AVERAGEIFS(Data!$J$2:$J$361,Data!$D$2:$D$361,E13)</x:f>
        <x:v>0.934990412064741</x:v>
      </x:c>
      <x:c r="I13" s="130" t="str">
        <x:v>Store 201</x:v>
      </x:c>
      <x:c r="J13" s="110" t="n">
        <x:f>SUMIFS(Data!$I$2:$I$361,Data!$B$2:$B$361,I13)</x:f>
        <x:v>73252.19000000002</x:v>
      </x:c>
      <x:c r="K13" s="118" t="n">
        <x:f>AVERAGEIFS(Data!$J$2:$J$361,Data!$B$2:$B$361,I13)</x:f>
        <x:v>0.933576038209669</x:v>
      </x:c>
      <x:c r="M13" s="142" t="n">
        <x:v>46082</x:v>
      </x:c>
    </x:row>
    <x:row r="14">
      <x:c r="A14" s="117" t="str">
        <x:v>Apr</x:v>
      </x:c>
      <x:c r="B14" s="110" t="n">
        <x:f>SUMIFS(Data!$I$2:$I$361,Data!$A$2:$A$361,$M14)</x:f>
        <x:v>115184.66000000002</x:v>
      </x:c>
      <x:c r="C14" s="118" t="n">
        <x:f>AVERAGEIFS(Data!$J$2:$J$361,Data!$A$2:$A$361,$M14)</x:f>
        <x:v>0.9293261792046855</x:v>
      </x:c>
      <x:c r="E14" s="130" t="str">
        <x:v>First Aid</x:v>
      </x:c>
      <x:c r="F14" s="110" t="n">
        <x:f>SUMIFS(Data!$I$2:$I$361,Data!$D$2:$D$361,E14)</x:f>
        <x:v>71639.51</x:v>
      </x:c>
      <x:c r="G14" s="118" t="n">
        <x:f>AVERAGEIFS(Data!$J$2:$J$361,Data!$D$2:$D$361,E14)</x:f>
        <x:v>0.9284417297690578</x:v>
      </x:c>
      <x:c r="I14" s="130" t="str">
        <x:v>Store 202</x:v>
      </x:c>
      <x:c r="J14" s="110" t="n">
        <x:f>SUMIFS(Data!$I$2:$I$361,Data!$B$2:$B$361,I14)</x:f>
        <x:v>74037.93</x:v>
      </x:c>
      <x:c r="K14" s="118" t="n">
        <x:f>AVERAGEIFS(Data!$J$2:$J$361,Data!$B$2:$B$361,I14)</x:f>
        <x:v>0.9352450153651459</x:v>
      </x:c>
      <x:c r="M14" s="142" t="n">
        <x:v>46113</x:v>
      </x:c>
    </x:row>
    <x:row r="15">
      <x:c r="A15" s="117" t="str">
        <x:v>May</x:v>
      </x:c>
      <x:c r="B15" s="110" t="n">
        <x:f>SUMIFS(Data!$I$2:$I$361,Data!$A$2:$A$361,$M15)</x:f>
        <x:v>119407.16</x:v>
      </x:c>
      <x:c r="C15" s="118" t="n">
        <x:f>AVERAGEIFS(Data!$J$2:$J$361,Data!$A$2:$A$361,$M15)</x:f>
        <x:v>0.9455212882628428</x:v>
      </x:c>
      <x:c r="E15" s="130" t="str">
        <x:v>Vitamins</x:v>
      </x:c>
      <x:c r="F15" s="110" t="n">
        <x:f>SUMIFS(Data!$I$2:$I$361,Data!$D$2:$D$361,E15)</x:f>
        <x:v>167285.81000000006</x:v>
      </x:c>
      <x:c r="G15" s="118" t="n">
        <x:f>AVERAGEIFS(Data!$J$2:$J$361,Data!$D$2:$D$361,E15)</x:f>
        <x:v>0.9368093893733381</x:v>
      </x:c>
      <x:c r="I15" s="130" t="str">
        <x:v>Store 301</x:v>
      </x:c>
      <x:c r="J15" s="110" t="n">
        <x:f>SUMIFS(Data!$I$2:$I$361,Data!$B$2:$B$361,I15)</x:f>
        <x:v>62260.04</x:v>
      </x:c>
      <x:c r="K15" s="118" t="n">
        <x:f>AVERAGEIFS(Data!$J$2:$J$361,Data!$B$2:$B$361,I15)</x:f>
        <x:v>0.9292779604899862</x:v>
      </x:c>
      <x:c r="M15" s="142" t="n">
        <x:v>46143</x:v>
      </x:c>
    </x:row>
    <x:row r="16">
      <x:c r="A16" s="119" t="str">
        <x:v>Jun</x:v>
      </x:c>
      <x:c r="B16" s="120" t="n">
        <x:f>SUMIFS(Data!$I$2:$I$361,Data!$A$2:$A$361,$M16)</x:f>
        <x:v>124363.68999999996</x:v>
      </x:c>
      <x:c r="C16" s="121" t="n">
        <x:f>AVERAGEIFS(Data!$J$2:$J$361,Data!$A$2:$A$361,$M16)</x:f>
        <x:v>0.9444428879916853</x:v>
      </x:c>
      <x:c r="E16" s="131" t="str">
        <x:v>Personal Care</x:v>
      </x:c>
      <x:c r="F16" s="120" t="n">
        <x:f>SUMIFS(Data!$I$2:$I$361,Data!$D$2:$D$361,E16)</x:f>
        <x:v>90944.89000000001</x:v>
      </x:c>
      <x:c r="G16" s="121" t="n">
        <x:f>AVERAGEIFS(Data!$J$2:$J$361,Data!$D$2:$D$361,E16)</x:f>
        <x:v>0.9399107980901932</x:v>
      </x:c>
      <x:c r="I16" s="130" t="str">
        <x:v>Store 302</x:v>
      </x:c>
      <x:c r="J16" s="110" t="n">
        <x:f>SUMIFS(Data!$I$2:$I$361,Data!$B$2:$B$361,I16)</x:f>
        <x:v>64957.880000000005</x:v>
      </x:c>
      <x:c r="K16" s="118" t="n">
        <x:f>AVERAGEIFS(Data!$J$2:$J$361,Data!$B$2:$B$361,I16)</x:f>
        <x:v>0.9363693006905132</x:v>
      </x:c>
      <x:c r="M16" s="142" t="n">
        <x:v>46174</x:v>
      </x:c>
    </x:row>
    <x:row r="17">
      <x:c r="I17" s="130" t="str">
        <x:v>Store 401</x:v>
      </x:c>
      <x:c r="J17" s="110" t="n">
        <x:f>SUMIFS(Data!$I$2:$I$361,Data!$B$2:$B$361,I17)</x:f>
        <x:v>62629.41</x:v>
      </x:c>
      <x:c r="K17" s="118" t="n">
        <x:f>AVERAGEIFS(Data!$J$2:$J$361,Data!$B$2:$B$361,I17)</x:f>
        <x:v>0.9455460270502329</x:v>
      </x:c>
    </x:row>
    <x:row r="18">
      <x:c r="I18" s="130" t="str">
        <x:v>Store 402</x:v>
      </x:c>
      <x:c r="J18" s="110" t="n">
        <x:f>SUMIFS(Data!$I$2:$I$361,Data!$B$2:$B$361,I18)</x:f>
        <x:v>67178.94</x:v>
      </x:c>
      <x:c r="K18" s="118" t="n">
        <x:f>AVERAGEIFS(Data!$J$2:$J$361,Data!$B$2:$B$361,I18)</x:f>
        <x:v>0.9352469474061359</x:v>
      </x:c>
    </x:row>
    <x:row r="19">
      <x:c r="I19" s="130" t="str">
        <x:v>Store 501</x:v>
      </x:c>
      <x:c r="J19" s="110" t="n">
        <x:f>SUMIFS(Data!$I$2:$I$361,Data!$B$2:$B$361,I19)</x:f>
        <x:v>72014.27999999998</x:v>
      </x:c>
      <x:c r="K19" s="118" t="n">
        <x:f>AVERAGEIFS(Data!$J$2:$J$361,Data!$B$2:$B$361,I19)</x:f>
        <x:v>0.9313803064229903</x:v>
      </x:c>
    </x:row>
    <x:row r="20">
      <x:c r="I20" s="131" t="str">
        <x:v>Store 502</x:v>
      </x:c>
      <x:c r="J20" s="120" t="n">
        <x:f>SUMIFS(Data!$I$2:$I$361,Data!$B$2:$B$361,I20)</x:f>
        <x:v>66633.12</x:v>
      </x:c>
      <x:c r="K20" s="121" t="n">
        <x:f>AVERAGEIFS(Data!$J$2:$J$361,Data!$B$2:$B$361,I20)</x:f>
        <x:v>0.9165600230448442</x:v>
      </x:c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</x:row>
    <x:row r="41">
      <x:c r="A41" s="137" t="str">
        <x:v>How to read this dashboard: availability below 90% is treated as a stockout risk. The dataset is fictional and created only to demonstrate Excel dashboard skills.</x:v>
      </x:c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</x:row>
  </x:sheetData>
  <x:mergeCells>
    <x:mergeCell ref="A1:L2"/>
    <x:mergeCell ref="A3:L3"/>
    <x:mergeCell ref="A5:C7"/>
    <x:mergeCell ref="D5:F7"/>
    <x:mergeCell ref="G5:I7"/>
    <x:mergeCell ref="J5:L7"/>
    <x:mergeCell ref="A4:C4"/>
    <x:mergeCell ref="D4:F4"/>
    <x:mergeCell ref="G4:I4"/>
    <x:mergeCell ref="J4:L4"/>
    <x:mergeCell ref="A37:L39"/>
    <x:mergeCell ref="A41:L43"/>
  </x:mergeCells>
  <x:pageMargins left="0.7" right="0.7" top="0.75" bottom="0.75" header="0.3" footer="0.3"/>
  <x:drawing xmlns:r="http://schemas.openxmlformats.org/officeDocument/2006/relationships" r:id="Rbf28362dd6e14ebc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8" hidden="0" customWidth="1"/>
    <x:col min="5" max="5" width="12" hidden="0" customWidth="1"/>
    <x:col min="6" max="6" width="13" hidden="0" customWidth="1"/>
    <x:col min="7" max="7" width="11" hidden="0" customWidth="1"/>
    <x:col min="8" max="8" width="13" hidden="0" customWidth="1"/>
    <x:col min="9" max="9" width="14" hidden="0" customWidth="1"/>
    <x:col min="10" max="10" width="13" hidden="0" customWidth="1"/>
    <x:col min="11" max="11" width="12" hidden="0" customWidth="1"/>
  </x:cols>
  <x:sheetData>
    <x:row r="1">
      <x:c r="A1" s="5" t="str">
        <x:v>Month</x:v>
      </x:c>
      <x:c r="B1" s="5" t="str">
        <x:v>Store</x:v>
      </x:c>
      <x:c r="C1" s="5" t="str">
        <x:v>Region</x:v>
      </x:c>
      <x:c r="D1" s="5" t="str">
        <x:v>Category</x:v>
      </x:c>
      <x:c r="E1" s="5" t="str">
        <x:v>Planned SKUs</x:v>
      </x:c>
      <x:c r="F1" s="5" t="str">
        <x:v>In-Stock SKUs</x:v>
      </x:c>
      <x:c r="G1" s="5" t="str">
        <x:v>Units Sold</x:v>
      </x:c>
      <x:c r="H1" s="5" t="str">
        <x:v>Avg Unit Price</x:v>
      </x:c>
      <x:c r="I1" s="5" t="str">
        <x:v>Sales Amount</x:v>
      </x:c>
      <x:c r="J1" s="5" t="str">
        <x:v>Availability %</x:v>
      </x:c>
      <x:c r="K1" s="5" t="str">
        <x:v>Stockout Flag</x:v>
      </x:c>
    </x:row>
    <x:row r="2">
      <x:c r="A2" s="12" t="n">
        <x:v>46023</x:v>
      </x:c>
      <x:c r="B2" s="10" t="str">
        <x:v>Store 101</x:v>
      </x:c>
      <x:c r="C2" s="10" t="str">
        <x:v>Central</x:v>
      </x:c>
      <x:c r="D2" s="10" t="str">
        <x:v>Pain Relief</x:v>
      </x:c>
      <x:c r="E2" s="10" t="n">
        <x:v>54</x:v>
      </x:c>
      <x:c r="F2" s="10" t="n">
        <x:v>53</x:v>
      </x:c>
      <x:c r="G2" s="10" t="n">
        <x:v>139</x:v>
      </x:c>
      <x:c r="H2" s="14" t="n">
        <x:v>12.88</x:v>
      </x:c>
      <x:c r="I2" s="14" t="n">
        <x:f>G2*H2</x:f>
        <x:v>1790.3200000000002</x:v>
      </x:c>
      <x:c r="J2" s="16" t="n">
        <x:f>IFERROR(F2/E2,0)</x:f>
        <x:v>0.9814814814814815</x:v>
      </x:c>
      <x:c r="K2" s="10" t="str">
        <x:f>IF(J2&lt;0.90,"Stockout","Healthy")</x:f>
        <x:v>Healthy</x:v>
      </x:c>
    </x:row>
    <x:row r="3">
      <x:c r="A3" s="12" t="n">
        <x:v>46023</x:v>
      </x:c>
      <x:c r="B3" s="10" t="str">
        <x:v>Store 101</x:v>
      </x:c>
      <x:c r="C3" s="10" t="str">
        <x:v>Central</x:v>
      </x:c>
      <x:c r="D3" s="10" t="str">
        <x:v>Cold &amp; Cough</x:v>
      </x:c>
      <x:c r="E3" s="10" t="n">
        <x:v>38</x:v>
      </x:c>
      <x:c r="F3" s="10" t="n">
        <x:v>35</x:v>
      </x:c>
      <x:c r="G3" s="10" t="n">
        <x:v>75</x:v>
      </x:c>
      <x:c r="H3" s="14" t="n">
        <x:v>16.44</x:v>
      </x:c>
      <x:c r="I3" s="14" t="n">
        <x:f>G3*H3</x:f>
        <x:v>1233</x:v>
      </x:c>
      <x:c r="J3" s="16" t="n">
        <x:f>IFERROR(F3/E3,0)</x:f>
        <x:v>0.9210526315789473</x:v>
      </x:c>
      <x:c r="K3" s="10" t="str">
        <x:f>IF(J3&lt;0.90,"Stockout","Healthy")</x:f>
        <x:v>Healthy</x:v>
      </x:c>
    </x:row>
    <x:row r="4">
      <x:c r="A4" s="12" t="n">
        <x:v>46023</x:v>
      </x:c>
      <x:c r="B4" s="10" t="str">
        <x:v>Store 101</x:v>
      </x:c>
      <x:c r="C4" s="10" t="str">
        <x:v>Central</x:v>
      </x:c>
      <x:c r="D4" s="10" t="str">
        <x:v>Digestive Care</x:v>
      </x:c>
      <x:c r="E4" s="10" t="n">
        <x:v>36</x:v>
      </x:c>
      <x:c r="F4" s="10" t="n">
        <x:v>33</x:v>
      </x:c>
      <x:c r="G4" s="10" t="n">
        <x:v>109</x:v>
      </x:c>
      <x:c r="H4" s="14" t="n">
        <x:v>16.57</x:v>
      </x:c>
      <x:c r="I4" s="14" t="n">
        <x:f>G4*H4</x:f>
        <x:v>1806.13</x:v>
      </x:c>
      <x:c r="J4" s="16" t="n">
        <x:f>IFERROR(F4/E4,0)</x:f>
        <x:v>0.9166666666666666</x:v>
      </x:c>
      <x:c r="K4" s="10" t="str">
        <x:f>IF(J4&lt;0.90,"Stockout","Healthy")</x:f>
        <x:v>Healthy</x:v>
      </x:c>
    </x:row>
    <x:row r="5">
      <x:c r="A5" s="12" t="n">
        <x:v>46023</x:v>
      </x:c>
      <x:c r="B5" s="10" t="str">
        <x:v>Store 101</x:v>
      </x:c>
      <x:c r="C5" s="10" t="str">
        <x:v>Central</x:v>
      </x:c>
      <x:c r="D5" s="10" t="str">
        <x:v>First Aid</x:v>
      </x:c>
      <x:c r="E5" s="10" t="n">
        <x:v>41</x:v>
      </x:c>
      <x:c r="F5" s="10" t="n">
        <x:v>37</x:v>
      </x:c>
      <x:c r="G5" s="10" t="n">
        <x:v>112</x:v>
      </x:c>
      <x:c r="H5" s="14" t="n">
        <x:v>8.97</x:v>
      </x:c>
      <x:c r="I5" s="14" t="n">
        <x:f>G5*H5</x:f>
        <x:v>1004.6400000000001</x:v>
      </x:c>
      <x:c r="J5" s="16" t="n">
        <x:f>IFERROR(F5/E5,0)</x:f>
        <x:v>0.9024390243902439</x:v>
      </x:c>
      <x:c r="K5" s="10" t="str">
        <x:f>IF(J5&lt;0.90,"Stockout","Healthy")</x:f>
        <x:v>Healthy</x:v>
      </x:c>
    </x:row>
    <x:row r="6">
      <x:c r="A6" s="12" t="n">
        <x:v>46023</x:v>
      </x:c>
      <x:c r="B6" s="10" t="str">
        <x:v>Store 101</x:v>
      </x:c>
      <x:c r="C6" s="10" t="str">
        <x:v>Central</x:v>
      </x:c>
      <x:c r="D6" s="10" t="str">
        <x:v>Vitamins</x:v>
      </x:c>
      <x:c r="E6" s="10" t="n">
        <x:v>54</x:v>
      </x:c>
      <x:c r="F6" s="10" t="n">
        <x:v>49</x:v>
      </x:c>
      <x:c r="G6" s="10" t="n">
        <x:v>87</x:v>
      </x:c>
      <x:c r="H6" s="14" t="n">
        <x:v>21.97</x:v>
      </x:c>
      <x:c r="I6" s="14" t="n">
        <x:f>G6*H6</x:f>
        <x:v>1911.3899999999999</x:v>
      </x:c>
      <x:c r="J6" s="16" t="n">
        <x:f>IFERROR(F6/E6,0)</x:f>
        <x:v>0.9074074074074074</x:v>
      </x:c>
      <x:c r="K6" s="10" t="str">
        <x:f>IF(J6&lt;0.90,"Stockout","Healthy")</x:f>
        <x:v>Healthy</x:v>
      </x:c>
    </x:row>
    <x:row r="7">
      <x:c r="A7" s="12" t="n">
        <x:v>46023</x:v>
      </x:c>
      <x:c r="B7" s="10" t="str">
        <x:v>Store 101</x:v>
      </x:c>
      <x:c r="C7" s="10" t="str">
        <x:v>Central</x:v>
      </x:c>
      <x:c r="D7" s="10" t="str">
        <x:v>Personal Care</x:v>
      </x:c>
      <x:c r="E7" s="10" t="n">
        <x:v>42</x:v>
      </x:c>
      <x:c r="F7" s="10" t="n">
        <x:v>39</x:v>
      </x:c>
      <x:c r="G7" s="10" t="n">
        <x:v>110</x:v>
      </x:c>
      <x:c r="H7" s="14" t="n">
        <x:v>12.93</x:v>
      </x:c>
      <x:c r="I7" s="14" t="n">
        <x:f>G7*H7</x:f>
        <x:v>1422.3</x:v>
      </x:c>
      <x:c r="J7" s="16" t="n">
        <x:f>IFERROR(F7/E7,0)</x:f>
        <x:v>0.9285714285714286</x:v>
      </x:c>
      <x:c r="K7" s="10" t="str">
        <x:f>IF(J7&lt;0.90,"Stockout","Healthy")</x:f>
        <x:v>Healthy</x:v>
      </x:c>
    </x:row>
    <x:row r="8">
      <x:c r="A8" s="12" t="n">
        <x:v>46023</x:v>
      </x:c>
      <x:c r="B8" s="10" t="str">
        <x:v>Store 102</x:v>
      </x:c>
      <x:c r="C8" s="10" t="str">
        <x:v>Central</x:v>
      </x:c>
      <x:c r="D8" s="10" t="str">
        <x:v>Pain Relief</x:v>
      </x:c>
      <x:c r="E8" s="10" t="n">
        <x:v>56</x:v>
      </x:c>
      <x:c r="F8" s="10" t="n">
        <x:v>50</x:v>
      </x:c>
      <x:c r="G8" s="10" t="n">
        <x:v>124</x:v>
      </x:c>
      <x:c r="H8" s="14" t="n">
        <x:v>12.79</x:v>
      </x:c>
      <x:c r="I8" s="14" t="n">
        <x:f>G8*H8</x:f>
        <x:v>1585.9599999999998</x:v>
      </x:c>
      <x:c r="J8" s="16" t="n">
        <x:f>IFERROR(F8/E8,0)</x:f>
        <x:v>0.8928571428571429</x:v>
      </x:c>
      <x:c r="K8" s="10" t="str">
        <x:f>IF(J8&lt;0.90,"Stockout","Healthy")</x:f>
        <x:v>Stockout</x:v>
      </x:c>
    </x:row>
    <x:row r="9">
      <x:c r="A9" s="12" t="n">
        <x:v>46023</x:v>
      </x:c>
      <x:c r="B9" s="10" t="str">
        <x:v>Store 102</x:v>
      </x:c>
      <x:c r="C9" s="10" t="str">
        <x:v>Central</x:v>
      </x:c>
      <x:c r="D9" s="10" t="str">
        <x:v>Cold &amp; Cough</x:v>
      </x:c>
      <x:c r="E9" s="10" t="n">
        <x:v>58</x:v>
      </x:c>
      <x:c r="F9" s="10" t="n">
        <x:v>53</x:v>
      </x:c>
      <x:c r="G9" s="10" t="n">
        <x:v>124</x:v>
      </x:c>
      <x:c r="H9" s="14" t="n">
        <x:v>13.82</x:v>
      </x:c>
      <x:c r="I9" s="14" t="n">
        <x:f>G9*H9</x:f>
        <x:v>1713.68</x:v>
      </x:c>
      <x:c r="J9" s="16" t="n">
        <x:f>IFERROR(F9/E9,0)</x:f>
        <x:v>0.9137931034482759</x:v>
      </x:c>
      <x:c r="K9" s="10" t="str">
        <x:f>IF(J9&lt;0.90,"Stockout","Healthy")</x:f>
        <x:v>Healthy</x:v>
      </x:c>
    </x:row>
    <x:row r="10">
      <x:c r="A10" s="12" t="n">
        <x:v>46023</x:v>
      </x:c>
      <x:c r="B10" s="10" t="str">
        <x:v>Store 102</x:v>
      </x:c>
      <x:c r="C10" s="10" t="str">
        <x:v>Central</x:v>
      </x:c>
      <x:c r="D10" s="10" t="str">
        <x:v>Digestive Care</x:v>
      </x:c>
      <x:c r="E10" s="10" t="n">
        <x:v>45</x:v>
      </x:c>
      <x:c r="F10" s="10" t="n">
        <x:v>38</x:v>
      </x:c>
      <x:c r="G10" s="10" t="n">
        <x:v>88</x:v>
      </x:c>
      <x:c r="H10" s="14" t="n">
        <x:v>19.09</x:v>
      </x:c>
      <x:c r="I10" s="14" t="n">
        <x:f>G10*H10</x:f>
        <x:v>1679.92</x:v>
      </x:c>
      <x:c r="J10" s="16" t="n">
        <x:f>IFERROR(F10/E10,0)</x:f>
        <x:v>0.8444444444444444</x:v>
      </x:c>
      <x:c r="K10" s="10" t="str">
        <x:f>IF(J10&lt;0.90,"Stockout","Healthy")</x:f>
        <x:v>Stockout</x:v>
      </x:c>
    </x:row>
    <x:row r="11">
      <x:c r="A11" s="12" t="n">
        <x:v>46023</x:v>
      </x:c>
      <x:c r="B11" s="10" t="str">
        <x:v>Store 102</x:v>
      </x:c>
      <x:c r="C11" s="10" t="str">
        <x:v>Central</x:v>
      </x:c>
      <x:c r="D11" s="10" t="str">
        <x:v>First Aid</x:v>
      </x:c>
      <x:c r="E11" s="10" t="n">
        <x:v>51</x:v>
      </x:c>
      <x:c r="F11" s="10" t="n">
        <x:v>50</x:v>
      </x:c>
      <x:c r="G11" s="10" t="n">
        <x:v>155</x:v>
      </x:c>
      <x:c r="H11" s="14" t="n">
        <x:v>8.71</x:v>
      </x:c>
      <x:c r="I11" s="14" t="n">
        <x:f>G11*H11</x:f>
        <x:v>1350.0500000000002</x:v>
      </x:c>
      <x:c r="J11" s="16" t="n">
        <x:f>IFERROR(F11/E11,0)</x:f>
        <x:v>0.9803921568627451</x:v>
      </x:c>
      <x:c r="K11" s="10" t="str">
        <x:f>IF(J11&lt;0.90,"Stockout","Healthy")</x:f>
        <x:v>Healthy</x:v>
      </x:c>
    </x:row>
    <x:row r="12">
      <x:c r="A12" s="12" t="n">
        <x:v>46023</x:v>
      </x:c>
      <x:c r="B12" s="10" t="str">
        <x:v>Store 102</x:v>
      </x:c>
      <x:c r="C12" s="10" t="str">
        <x:v>Central</x:v>
      </x:c>
      <x:c r="D12" s="10" t="str">
        <x:v>Vitamins</x:v>
      </x:c>
      <x:c r="E12" s="10" t="n">
        <x:v>43</x:v>
      </x:c>
      <x:c r="F12" s="10" t="n">
        <x:v>41</x:v>
      </x:c>
      <x:c r="G12" s="10" t="n">
        <x:v>85</x:v>
      </x:c>
      <x:c r="H12" s="14" t="n">
        <x:v>23.97</x:v>
      </x:c>
      <x:c r="I12" s="14" t="n">
        <x:f>G12*H12</x:f>
        <x:v>2037.4499999999998</x:v>
      </x:c>
      <x:c r="J12" s="16" t="n">
        <x:f>IFERROR(F12/E12,0)</x:f>
        <x:v>0.9534883720930233</x:v>
      </x:c>
      <x:c r="K12" s="10" t="str">
        <x:f>IF(J12&lt;0.90,"Stockout","Healthy")</x:f>
        <x:v>Healthy</x:v>
      </x:c>
    </x:row>
    <x:row r="13">
      <x:c r="A13" s="12" t="n">
        <x:v>46023</x:v>
      </x:c>
      <x:c r="B13" s="10" t="str">
        <x:v>Store 102</x:v>
      </x:c>
      <x:c r="C13" s="10" t="str">
        <x:v>Central</x:v>
      </x:c>
      <x:c r="D13" s="10" t="str">
        <x:v>Personal Care</x:v>
      </x:c>
      <x:c r="E13" s="10" t="n">
        <x:v>52</x:v>
      </x:c>
      <x:c r="F13" s="10" t="n">
        <x:v>48</x:v>
      </x:c>
      <x:c r="G13" s="10" t="n">
        <x:v>124</x:v>
      </x:c>
      <x:c r="H13" s="14" t="n">
        <x:v>12.55</x:v>
      </x:c>
      <x:c r="I13" s="14" t="n">
        <x:f>G13*H13</x:f>
        <x:v>1556.2</x:v>
      </x:c>
      <x:c r="J13" s="16" t="n">
        <x:f>IFERROR(F13/E13,0)</x:f>
        <x:v>0.9230769230769231</x:v>
      </x:c>
      <x:c r="K13" s="10" t="str">
        <x:f>IF(J13&lt;0.90,"Stockout","Healthy")</x:f>
        <x:v>Healthy</x:v>
      </x:c>
    </x:row>
    <x:row r="14">
      <x:c r="A14" s="12" t="n">
        <x:v>46023</x:v>
      </x:c>
      <x:c r="B14" s="10" t="str">
        <x:v>Store 201</x:v>
      </x:c>
      <x:c r="C14" s="10" t="str">
        <x:v>East</x:v>
      </x:c>
      <x:c r="D14" s="10" t="str">
        <x:v>Pain Relief</x:v>
      </x:c>
      <x:c r="E14" s="10" t="n">
        <x:v>58</x:v>
      </x:c>
      <x:c r="F14" s="10" t="n">
        <x:v>53</x:v>
      </x:c>
      <x:c r="G14" s="10" t="n">
        <x:v>128</x:v>
      </x:c>
      <x:c r="H14" s="14" t="n">
        <x:v>12.84</x:v>
      </x:c>
      <x:c r="I14" s="14" t="n">
        <x:f>G14*H14</x:f>
        <x:v>1643.52</x:v>
      </x:c>
      <x:c r="J14" s="16" t="n">
        <x:f>IFERROR(F14/E14,0)</x:f>
        <x:v>0.9137931034482759</x:v>
      </x:c>
      <x:c r="K14" s="10" t="str">
        <x:f>IF(J14&lt;0.90,"Stockout","Healthy")</x:f>
        <x:v>Healthy</x:v>
      </x:c>
    </x:row>
    <x:row r="15">
      <x:c r="A15" s="12" t="n">
        <x:v>46023</x:v>
      </x:c>
      <x:c r="B15" s="10" t="str">
        <x:v>Store 201</x:v>
      </x:c>
      <x:c r="C15" s="10" t="str">
        <x:v>East</x:v>
      </x:c>
      <x:c r="D15" s="10" t="str">
        <x:v>Cold &amp; Cough</x:v>
      </x:c>
      <x:c r="E15" s="10" t="n">
        <x:v>37</x:v>
      </x:c>
      <x:c r="F15" s="10" t="n">
        <x:v>33</x:v>
      </x:c>
      <x:c r="G15" s="10" t="n">
        <x:v>137</x:v>
      </x:c>
      <x:c r="H15" s="14" t="n">
        <x:v>16.25</x:v>
      </x:c>
      <x:c r="I15" s="14" t="n">
        <x:f>G15*H15</x:f>
        <x:v>2226.25</x:v>
      </x:c>
      <x:c r="J15" s="16" t="n">
        <x:f>IFERROR(F15/E15,0)</x:f>
        <x:v>0.8918918918918919</x:v>
      </x:c>
      <x:c r="K15" s="10" t="str">
        <x:f>IF(J15&lt;0.90,"Stockout","Healthy")</x:f>
        <x:v>Stockout</x:v>
      </x:c>
    </x:row>
    <x:row r="16">
      <x:c r="A16" s="12" t="n">
        <x:v>46023</x:v>
      </x:c>
      <x:c r="B16" s="10" t="str">
        <x:v>Store 201</x:v>
      </x:c>
      <x:c r="C16" s="10" t="str">
        <x:v>East</x:v>
      </x:c>
      <x:c r="D16" s="10" t="str">
        <x:v>Digestive Care</x:v>
      </x:c>
      <x:c r="E16" s="10" t="n">
        <x:v>39</x:v>
      </x:c>
      <x:c r="F16" s="10" t="n">
        <x:v>35</x:v>
      </x:c>
      <x:c r="G16" s="10" t="n">
        <x:v>130</x:v>
      </x:c>
      <x:c r="H16" s="14" t="n">
        <x:v>17.26</x:v>
      </x:c>
      <x:c r="I16" s="14" t="n">
        <x:f>G16*H16</x:f>
        <x:v>2243.8</x:v>
      </x:c>
      <x:c r="J16" s="16" t="n">
        <x:f>IFERROR(F16/E16,0)</x:f>
        <x:v>0.8974358974358975</x:v>
      </x:c>
      <x:c r="K16" s="10" t="str">
        <x:f>IF(J16&lt;0.90,"Stockout","Healthy")</x:f>
        <x:v>Stockout</x:v>
      </x:c>
    </x:row>
    <x:row r="17">
      <x:c r="A17" s="12" t="n">
        <x:v>46023</x:v>
      </x:c>
      <x:c r="B17" s="10" t="str">
        <x:v>Store 201</x:v>
      </x:c>
      <x:c r="C17" s="10" t="str">
        <x:v>East</x:v>
      </x:c>
      <x:c r="D17" s="10" t="str">
        <x:v>First Aid</x:v>
      </x:c>
      <x:c r="E17" s="10" t="n">
        <x:v>55</x:v>
      </x:c>
      <x:c r="F17" s="10" t="n">
        <x:v>49</x:v>
      </x:c>
      <x:c r="G17" s="10" t="n">
        <x:v>90</x:v>
      </x:c>
      <x:c r="H17" s="14" t="n">
        <x:v>8.91</x:v>
      </x:c>
      <x:c r="I17" s="14" t="n">
        <x:f>G17*H17</x:f>
        <x:v>801.9</x:v>
      </x:c>
      <x:c r="J17" s="16" t="n">
        <x:f>IFERROR(F17/E17,0)</x:f>
        <x:v>0.8909090909090909</x:v>
      </x:c>
      <x:c r="K17" s="10" t="str">
        <x:f>IF(J17&lt;0.90,"Stockout","Healthy")</x:f>
        <x:v>Stockout</x:v>
      </x:c>
    </x:row>
    <x:row r="18">
      <x:c r="A18" s="12" t="n">
        <x:v>46023</x:v>
      </x:c>
      <x:c r="B18" s="10" t="str">
        <x:v>Store 201</x:v>
      </x:c>
      <x:c r="C18" s="10" t="str">
        <x:v>East</x:v>
      </x:c>
      <x:c r="D18" s="10" t="str">
        <x:v>Vitamins</x:v>
      </x:c>
      <x:c r="E18" s="10" t="n">
        <x:v>57</x:v>
      </x:c>
      <x:c r="F18" s="10" t="n">
        <x:v>53</x:v>
      </x:c>
      <x:c r="G18" s="10" t="n">
        <x:v>146</x:v>
      </x:c>
      <x:c r="H18" s="14" t="n">
        <x:v>21.11</x:v>
      </x:c>
      <x:c r="I18" s="14" t="n">
        <x:f>G18*H18</x:f>
        <x:v>3082.06</x:v>
      </x:c>
      <x:c r="J18" s="16" t="n">
        <x:f>IFERROR(F18/E18,0)</x:f>
        <x:v>0.9298245614035088</x:v>
      </x:c>
      <x:c r="K18" s="10" t="str">
        <x:f>IF(J18&lt;0.90,"Stockout","Healthy")</x:f>
        <x:v>Healthy</x:v>
      </x:c>
    </x:row>
    <x:row r="19">
      <x:c r="A19" s="12" t="n">
        <x:v>46023</x:v>
      </x:c>
      <x:c r="B19" s="10" t="str">
        <x:v>Store 201</x:v>
      </x:c>
      <x:c r="C19" s="10" t="str">
        <x:v>East</x:v>
      </x:c>
      <x:c r="D19" s="10" t="str">
        <x:v>Personal Care</x:v>
      </x:c>
      <x:c r="E19" s="10" t="n">
        <x:v>54</x:v>
      </x:c>
      <x:c r="F19" s="10" t="n">
        <x:v>49</x:v>
      </x:c>
      <x:c r="G19" s="10" t="n">
        <x:v>102</x:v>
      </x:c>
      <x:c r="H19" s="14" t="n">
        <x:v>11.66</x:v>
      </x:c>
      <x:c r="I19" s="14" t="n">
        <x:f>G19*H19</x:f>
        <x:v>1189.32</x:v>
      </x:c>
      <x:c r="J19" s="16" t="n">
        <x:f>IFERROR(F19/E19,0)</x:f>
        <x:v>0.9074074074074074</x:v>
      </x:c>
      <x:c r="K19" s="10" t="str">
        <x:f>IF(J19&lt;0.90,"Stockout","Healthy")</x:f>
        <x:v>Healthy</x:v>
      </x:c>
    </x:row>
    <x:row r="20">
      <x:c r="A20" s="12" t="n">
        <x:v>46023</x:v>
      </x:c>
      <x:c r="B20" s="10" t="str">
        <x:v>Store 202</x:v>
      </x:c>
      <x:c r="C20" s="10" t="str">
        <x:v>East</x:v>
      </x:c>
      <x:c r="D20" s="10" t="str">
        <x:v>Pain Relief</x:v>
      </x:c>
      <x:c r="E20" s="10" t="n">
        <x:v>58</x:v>
      </x:c>
      <x:c r="F20" s="10" t="n">
        <x:v>54</x:v>
      </x:c>
      <x:c r="G20" s="10" t="n">
        <x:v>103</x:v>
      </x:c>
      <x:c r="H20" s="14" t="n">
        <x:v>12.25</x:v>
      </x:c>
      <x:c r="I20" s="14" t="n">
        <x:f>G20*H20</x:f>
        <x:v>1261.75</x:v>
      </x:c>
      <x:c r="J20" s="16" t="n">
        <x:f>IFERROR(F20/E20,0)</x:f>
        <x:v>0.9310344827586207</x:v>
      </x:c>
      <x:c r="K20" s="10" t="str">
        <x:f>IF(J20&lt;0.90,"Stockout","Healthy")</x:f>
        <x:v>Healthy</x:v>
      </x:c>
    </x:row>
    <x:row r="21">
      <x:c r="A21" s="12" t="n">
        <x:v>46023</x:v>
      </x:c>
      <x:c r="B21" s="10" t="str">
        <x:v>Store 202</x:v>
      </x:c>
      <x:c r="C21" s="10" t="str">
        <x:v>East</x:v>
      </x:c>
      <x:c r="D21" s="10" t="str">
        <x:v>Cold &amp; Cough</x:v>
      </x:c>
      <x:c r="E21" s="10" t="n">
        <x:v>44</x:v>
      </x:c>
      <x:c r="F21" s="10" t="n">
        <x:v>40</x:v>
      </x:c>
      <x:c r="G21" s="10" t="n">
        <x:v>126</x:v>
      </x:c>
      <x:c r="H21" s="14" t="n">
        <x:v>16.51</x:v>
      </x:c>
      <x:c r="I21" s="14" t="n">
        <x:f>G21*H21</x:f>
        <x:v>2080.26</x:v>
      </x:c>
      <x:c r="J21" s="16" t="n">
        <x:f>IFERROR(F21/E21,0)</x:f>
        <x:v>0.9090909090909091</x:v>
      </x:c>
      <x:c r="K21" s="10" t="str">
        <x:f>IF(J21&lt;0.90,"Stockout","Healthy")</x:f>
        <x:v>Healthy</x:v>
      </x:c>
    </x:row>
    <x:row r="22">
      <x:c r="A22" s="12" t="n">
        <x:v>46023</x:v>
      </x:c>
      <x:c r="B22" s="10" t="str">
        <x:v>Store 202</x:v>
      </x:c>
      <x:c r="C22" s="10" t="str">
        <x:v>East</x:v>
      </x:c>
      <x:c r="D22" s="10" t="str">
        <x:v>Digestive Care</x:v>
      </x:c>
      <x:c r="E22" s="10" t="n">
        <x:v>52</x:v>
      </x:c>
      <x:c r="F22" s="10" t="n">
        <x:v>49</x:v>
      </x:c>
      <x:c r="G22" s="10" t="n">
        <x:v>106</x:v>
      </x:c>
      <x:c r="H22" s="14" t="n">
        <x:v>18.8</x:v>
      </x:c>
      <x:c r="I22" s="14" t="n">
        <x:f>G22*H22</x:f>
        <x:v>1992.8000000000002</x:v>
      </x:c>
      <x:c r="J22" s="16" t="n">
        <x:f>IFERROR(F22/E22,0)</x:f>
        <x:v>0.9423076923076923</x:v>
      </x:c>
      <x:c r="K22" s="10" t="str">
        <x:f>IF(J22&lt;0.90,"Stockout","Healthy")</x:f>
        <x:v>Healthy</x:v>
      </x:c>
    </x:row>
    <x:row r="23">
      <x:c r="A23" s="12" t="n">
        <x:v>46023</x:v>
      </x:c>
      <x:c r="B23" s="10" t="str">
        <x:v>Store 202</x:v>
      </x:c>
      <x:c r="C23" s="10" t="str">
        <x:v>East</x:v>
      </x:c>
      <x:c r="D23" s="10" t="str">
        <x:v>First Aid</x:v>
      </x:c>
      <x:c r="E23" s="10" t="n">
        <x:v>46</x:v>
      </x:c>
      <x:c r="F23" s="10" t="n">
        <x:v>45</x:v>
      </x:c>
      <x:c r="G23" s="10" t="n">
        <x:v>97</x:v>
      </x:c>
      <x:c r="H23" s="14" t="n">
        <x:v>8.85</x:v>
      </x:c>
      <x:c r="I23" s="14" t="n">
        <x:f>G23*H23</x:f>
        <x:v>858.4499999999999</x:v>
      </x:c>
      <x:c r="J23" s="16" t="n">
        <x:f>IFERROR(F23/E23,0)</x:f>
        <x:v>0.9782608695652174</x:v>
      </x:c>
      <x:c r="K23" s="10" t="str">
        <x:f>IF(J23&lt;0.90,"Stockout","Healthy")</x:f>
        <x:v>Healthy</x:v>
      </x:c>
    </x:row>
    <x:row r="24">
      <x:c r="A24" s="12" t="n">
        <x:v>46023</x:v>
      </x:c>
      <x:c r="B24" s="10" t="str">
        <x:v>Store 202</x:v>
      </x:c>
      <x:c r="C24" s="10" t="str">
        <x:v>East</x:v>
      </x:c>
      <x:c r="D24" s="10" t="str">
        <x:v>Vitamins</x:v>
      </x:c>
      <x:c r="E24" s="10" t="n">
        <x:v>38</x:v>
      </x:c>
      <x:c r="F24" s="10" t="n">
        <x:v>35</x:v>
      </x:c>
      <x:c r="G24" s="10" t="n">
        <x:v>153</x:v>
      </x:c>
      <x:c r="H24" s="14" t="n">
        <x:v>21.07</x:v>
      </x:c>
      <x:c r="I24" s="14" t="n">
        <x:f>G24*H24</x:f>
        <x:v>3223.71</x:v>
      </x:c>
      <x:c r="J24" s="16" t="n">
        <x:f>IFERROR(F24/E24,0)</x:f>
        <x:v>0.9210526315789473</x:v>
      </x:c>
      <x:c r="K24" s="10" t="str">
        <x:f>IF(J24&lt;0.90,"Stockout","Healthy")</x:f>
        <x:v>Healthy</x:v>
      </x:c>
    </x:row>
    <x:row r="25">
      <x:c r="A25" s="12" t="n">
        <x:v>46023</x:v>
      </x:c>
      <x:c r="B25" s="10" t="str">
        <x:v>Store 202</x:v>
      </x:c>
      <x:c r="C25" s="10" t="str">
        <x:v>East</x:v>
      </x:c>
      <x:c r="D25" s="10" t="str">
        <x:v>Personal Care</x:v>
      </x:c>
      <x:c r="E25" s="10" t="n">
        <x:v>52</x:v>
      </x:c>
      <x:c r="F25" s="10" t="n">
        <x:v>45</x:v>
      </x:c>
      <x:c r="G25" s="10" t="n">
        <x:v>135</x:v>
      </x:c>
      <x:c r="H25" s="14" t="n">
        <x:v>11.76</x:v>
      </x:c>
      <x:c r="I25" s="14" t="n">
        <x:f>G25*H25</x:f>
        <x:v>1587.6</x:v>
      </x:c>
      <x:c r="J25" s="16" t="n">
        <x:f>IFERROR(F25/E25,0)</x:f>
        <x:v>0.8653846153846154</x:v>
      </x:c>
      <x:c r="K25" s="10" t="str">
        <x:f>IF(J25&lt;0.90,"Stockout","Healthy")</x:f>
        <x:v>Stockout</x:v>
      </x:c>
    </x:row>
    <x:row r="26">
      <x:c r="A26" s="12" t="n">
        <x:v>46023</x:v>
      </x:c>
      <x:c r="B26" s="10" t="str">
        <x:v>Store 301</x:v>
      </x:c>
      <x:c r="C26" s="10" t="str">
        <x:v>West</x:v>
      </x:c>
      <x:c r="D26" s="10" t="str">
        <x:v>Pain Relief</x:v>
      </x:c>
      <x:c r="E26" s="10" t="n">
        <x:v>38</x:v>
      </x:c>
      <x:c r="F26" s="10" t="n">
        <x:v>34</x:v>
      </x:c>
      <x:c r="G26" s="10" t="n">
        <x:v>103</x:v>
      </x:c>
      <x:c r="H26" s="14" t="n">
        <x:v>12.29</x:v>
      </x:c>
      <x:c r="I26" s="14" t="n">
        <x:f>G26*H26</x:f>
        <x:v>1265.87</x:v>
      </x:c>
      <x:c r="J26" s="16" t="n">
        <x:f>IFERROR(F26/E26,0)</x:f>
        <x:v>0.8947368421052632</x:v>
      </x:c>
      <x:c r="K26" s="10" t="str">
        <x:f>IF(J26&lt;0.90,"Stockout","Healthy")</x:f>
        <x:v>Stockout</x:v>
      </x:c>
    </x:row>
    <x:row r="27">
      <x:c r="A27" s="12" t="n">
        <x:v>46023</x:v>
      </x:c>
      <x:c r="B27" s="10" t="str">
        <x:v>Store 301</x:v>
      </x:c>
      <x:c r="C27" s="10" t="str">
        <x:v>West</x:v>
      </x:c>
      <x:c r="D27" s="10" t="str">
        <x:v>Cold &amp; Cough</x:v>
      </x:c>
      <x:c r="E27" s="10" t="n">
        <x:v>37</x:v>
      </x:c>
      <x:c r="F27" s="10" t="n">
        <x:v>35</x:v>
      </x:c>
      <x:c r="G27" s="10" t="n">
        <x:v>116</x:v>
      </x:c>
      <x:c r="H27" s="14" t="n">
        <x:v>15.75</x:v>
      </x:c>
      <x:c r="I27" s="14" t="n">
        <x:f>G27*H27</x:f>
        <x:v>1827</x:v>
      </x:c>
      <x:c r="J27" s="16" t="n">
        <x:f>IFERROR(F27/E27,0)</x:f>
        <x:v>0.9459459459459459</x:v>
      </x:c>
      <x:c r="K27" s="10" t="str">
        <x:f>IF(J27&lt;0.90,"Stockout","Healthy")</x:f>
        <x:v>Healthy</x:v>
      </x:c>
    </x:row>
    <x:row r="28">
      <x:c r="A28" s="12" t="n">
        <x:v>46023</x:v>
      </x:c>
      <x:c r="B28" s="10" t="str">
        <x:v>Store 301</x:v>
      </x:c>
      <x:c r="C28" s="10" t="str">
        <x:v>West</x:v>
      </x:c>
      <x:c r="D28" s="10" t="str">
        <x:v>Digestive Care</x:v>
      </x:c>
      <x:c r="E28" s="10" t="n">
        <x:v>53</x:v>
      </x:c>
      <x:c r="F28" s="10" t="n">
        <x:v>51</x:v>
      </x:c>
      <x:c r="G28" s="10" t="n">
        <x:v>113</x:v>
      </x:c>
      <x:c r="H28" s="14" t="n">
        <x:v>20.14</x:v>
      </x:c>
      <x:c r="I28" s="14" t="n">
        <x:f>G28*H28</x:f>
        <x:v>2275.82</x:v>
      </x:c>
      <x:c r="J28" s="16" t="n">
        <x:f>IFERROR(F28/E28,0)</x:f>
        <x:v>0.9622641509433962</x:v>
      </x:c>
      <x:c r="K28" s="10" t="str">
        <x:f>IF(J28&lt;0.90,"Stockout","Healthy")</x:f>
        <x:v>Healthy</x:v>
      </x:c>
    </x:row>
    <x:row r="29">
      <x:c r="A29" s="12" t="n">
        <x:v>46023</x:v>
      </x:c>
      <x:c r="B29" s="10" t="str">
        <x:v>Store 301</x:v>
      </x:c>
      <x:c r="C29" s="10" t="str">
        <x:v>West</x:v>
      </x:c>
      <x:c r="D29" s="10" t="str">
        <x:v>First Aid</x:v>
      </x:c>
      <x:c r="E29" s="10" t="n">
        <x:v>50</x:v>
      </x:c>
      <x:c r="F29" s="10" t="n">
        <x:v>46</x:v>
      </x:c>
      <x:c r="G29" s="10" t="n">
        <x:v>135</x:v>
      </x:c>
      <x:c r="H29" s="14" t="n">
        <x:v>10.52</x:v>
      </x:c>
      <x:c r="I29" s="14" t="n">
        <x:f>G29*H29</x:f>
        <x:v>1420.2</x:v>
      </x:c>
      <x:c r="J29" s="16" t="n">
        <x:f>IFERROR(F29/E29,0)</x:f>
        <x:v>0.92</x:v>
      </x:c>
      <x:c r="K29" s="10" t="str">
        <x:f>IF(J29&lt;0.90,"Stockout","Healthy")</x:f>
        <x:v>Healthy</x:v>
      </x:c>
    </x:row>
    <x:row r="30">
      <x:c r="A30" s="12" t="n">
        <x:v>46023</x:v>
      </x:c>
      <x:c r="B30" s="10" t="str">
        <x:v>Store 301</x:v>
      </x:c>
      <x:c r="C30" s="10" t="str">
        <x:v>West</x:v>
      </x:c>
      <x:c r="D30" s="10" t="str">
        <x:v>Vitamins</x:v>
      </x:c>
      <x:c r="E30" s="10" t="n">
        <x:v>55</x:v>
      </x:c>
      <x:c r="F30" s="10" t="n">
        <x:v>50</x:v>
      </x:c>
      <x:c r="G30" s="10" t="n">
        <x:v>66</x:v>
      </x:c>
      <x:c r="H30" s="14" t="n">
        <x:v>22.4</x:v>
      </x:c>
      <x:c r="I30" s="14" t="n">
        <x:f>G30*H30</x:f>
        <x:v>1478.3999999999999</x:v>
      </x:c>
      <x:c r="J30" s="16" t="n">
        <x:f>IFERROR(F30/E30,0)</x:f>
        <x:v>0.9090909090909091</x:v>
      </x:c>
      <x:c r="K30" s="10" t="str">
        <x:f>IF(J30&lt;0.90,"Stockout","Healthy")</x:f>
        <x:v>Healthy</x:v>
      </x:c>
    </x:row>
    <x:row r="31">
      <x:c r="A31" s="12" t="n">
        <x:v>46023</x:v>
      </x:c>
      <x:c r="B31" s="10" t="str">
        <x:v>Store 301</x:v>
      </x:c>
      <x:c r="C31" s="10" t="str">
        <x:v>West</x:v>
      </x:c>
      <x:c r="D31" s="10" t="str">
        <x:v>Personal Care</x:v>
      </x:c>
      <x:c r="E31" s="10" t="n">
        <x:v>42</x:v>
      </x:c>
      <x:c r="F31" s="10" t="n">
        <x:v>39</x:v>
      </x:c>
      <x:c r="G31" s="10" t="n">
        <x:v>81</x:v>
      </x:c>
      <x:c r="H31" s="14" t="n">
        <x:v>11.57</x:v>
      </x:c>
      <x:c r="I31" s="14" t="n">
        <x:f>G31*H31</x:f>
        <x:v>937.1700000000001</x:v>
      </x:c>
      <x:c r="J31" s="16" t="n">
        <x:f>IFERROR(F31/E31,0)</x:f>
        <x:v>0.9285714285714286</x:v>
      </x:c>
      <x:c r="K31" s="10" t="str">
        <x:f>IF(J31&lt;0.90,"Stockout","Healthy")</x:f>
        <x:v>Healthy</x:v>
      </x:c>
    </x:row>
    <x:row r="32">
      <x:c r="A32" s="12" t="n">
        <x:v>46023</x:v>
      </x:c>
      <x:c r="B32" s="10" t="str">
        <x:v>Store 302</x:v>
      </x:c>
      <x:c r="C32" s="10" t="str">
        <x:v>West</x:v>
      </x:c>
      <x:c r="D32" s="10" t="str">
        <x:v>Pain Relief</x:v>
      </x:c>
      <x:c r="E32" s="10" t="n">
        <x:v>39</x:v>
      </x:c>
      <x:c r="F32" s="10" t="n">
        <x:v>32</x:v>
      </x:c>
      <x:c r="G32" s="10" t="n">
        <x:v>124</x:v>
      </x:c>
      <x:c r="H32" s="14" t="n">
        <x:v>14.75</x:v>
      </x:c>
      <x:c r="I32" s="14" t="n">
        <x:f>G32*H32</x:f>
        <x:v>1829</x:v>
      </x:c>
      <x:c r="J32" s="16" t="n">
        <x:f>IFERROR(F32/E32,0)</x:f>
        <x:v>0.8205128205128205</x:v>
      </x:c>
      <x:c r="K32" s="10" t="str">
        <x:f>IF(J32&lt;0.90,"Stockout","Healthy")</x:f>
        <x:v>Stockout</x:v>
      </x:c>
    </x:row>
    <x:row r="33">
      <x:c r="A33" s="12" t="n">
        <x:v>46023</x:v>
      </x:c>
      <x:c r="B33" s="10" t="str">
        <x:v>Store 302</x:v>
      </x:c>
      <x:c r="C33" s="10" t="str">
        <x:v>West</x:v>
      </x:c>
      <x:c r="D33" s="10" t="str">
        <x:v>Cold &amp; Cough</x:v>
      </x:c>
      <x:c r="E33" s="10" t="n">
        <x:v>42</x:v>
      </x:c>
      <x:c r="F33" s="10" t="n">
        <x:v>42</x:v>
      </x:c>
      <x:c r="G33" s="10" t="n">
        <x:v>99</x:v>
      </x:c>
      <x:c r="H33" s="14" t="n">
        <x:v>15.18</x:v>
      </x:c>
      <x:c r="I33" s="14" t="n">
        <x:f>G33*H33</x:f>
        <x:v>1502.82</x:v>
      </x:c>
      <x:c r="J33" s="16" t="n">
        <x:f>IFERROR(F33/E33,0)</x:f>
        <x:v>1</x:v>
      </x:c>
      <x:c r="K33" s="10" t="str">
        <x:f>IF(J33&lt;0.90,"Stockout","Healthy")</x:f>
        <x:v>Healthy</x:v>
      </x:c>
    </x:row>
    <x:row r="34">
      <x:c r="A34" s="12" t="n">
        <x:v>46023</x:v>
      </x:c>
      <x:c r="B34" s="10" t="str">
        <x:v>Store 302</x:v>
      </x:c>
      <x:c r="C34" s="10" t="str">
        <x:v>West</x:v>
      </x:c>
      <x:c r="D34" s="10" t="str">
        <x:v>Digestive Care</x:v>
      </x:c>
      <x:c r="E34" s="10" t="n">
        <x:v>37</x:v>
      </x:c>
      <x:c r="F34" s="10" t="n">
        <x:v>35</x:v>
      </x:c>
      <x:c r="G34" s="10" t="n">
        <x:v>91</x:v>
      </x:c>
      <x:c r="H34" s="14" t="n">
        <x:v>18.73</x:v>
      </x:c>
      <x:c r="I34" s="14" t="n">
        <x:f>G34*H34</x:f>
        <x:v>1704.43</x:v>
      </x:c>
      <x:c r="J34" s="16" t="n">
        <x:f>IFERROR(F34/E34,0)</x:f>
        <x:v>0.9459459459459459</x:v>
      </x:c>
      <x:c r="K34" s="10" t="str">
        <x:f>IF(J34&lt;0.90,"Stockout","Healthy")</x:f>
        <x:v>Healthy</x:v>
      </x:c>
    </x:row>
    <x:row r="35">
      <x:c r="A35" s="12" t="n">
        <x:v>46023</x:v>
      </x:c>
      <x:c r="B35" s="10" t="str">
        <x:v>Store 302</x:v>
      </x:c>
      <x:c r="C35" s="10" t="str">
        <x:v>West</x:v>
      </x:c>
      <x:c r="D35" s="10" t="str">
        <x:v>First Aid</x:v>
      </x:c>
      <x:c r="E35" s="10" t="n">
        <x:v>53</x:v>
      </x:c>
      <x:c r="F35" s="10" t="n">
        <x:v>49</x:v>
      </x:c>
      <x:c r="G35" s="10" t="n">
        <x:v>129</x:v>
      </x:c>
      <x:c r="H35" s="14" t="n">
        <x:v>8.89</x:v>
      </x:c>
      <x:c r="I35" s="14" t="n">
        <x:f>G35*H35</x:f>
        <x:v>1146.8100000000002</x:v>
      </x:c>
      <x:c r="J35" s="16" t="n">
        <x:f>IFERROR(F35/E35,0)</x:f>
        <x:v>0.9245283018867925</x:v>
      </x:c>
      <x:c r="K35" s="10" t="str">
        <x:f>IF(J35&lt;0.90,"Stockout","Healthy")</x:f>
        <x:v>Healthy</x:v>
      </x:c>
    </x:row>
    <x:row r="36">
      <x:c r="A36" s="12" t="n">
        <x:v>46023</x:v>
      </x:c>
      <x:c r="B36" s="10" t="str">
        <x:v>Store 302</x:v>
      </x:c>
      <x:c r="C36" s="10" t="str">
        <x:v>West</x:v>
      </x:c>
      <x:c r="D36" s="10" t="str">
        <x:v>Vitamins</x:v>
      </x:c>
      <x:c r="E36" s="10" t="n">
        <x:v>58</x:v>
      </x:c>
      <x:c r="F36" s="10" t="n">
        <x:v>57</x:v>
      </x:c>
      <x:c r="G36" s="10" t="n">
        <x:v>80</x:v>
      </x:c>
      <x:c r="H36" s="14" t="n">
        <x:v>22.7</x:v>
      </x:c>
      <x:c r="I36" s="14" t="n">
        <x:f>G36*H36</x:f>
        <x:v>1816</x:v>
      </x:c>
      <x:c r="J36" s="16" t="n">
        <x:f>IFERROR(F36/E36,0)</x:f>
        <x:v>0.9827586206896551</x:v>
      </x:c>
      <x:c r="K36" s="10" t="str">
        <x:f>IF(J36&lt;0.90,"Stockout","Healthy")</x:f>
        <x:v>Healthy</x:v>
      </x:c>
    </x:row>
    <x:row r="37">
      <x:c r="A37" s="12" t="n">
        <x:v>46023</x:v>
      </x:c>
      <x:c r="B37" s="10" t="str">
        <x:v>Store 302</x:v>
      </x:c>
      <x:c r="C37" s="10" t="str">
        <x:v>West</x:v>
      </x:c>
      <x:c r="D37" s="10" t="str">
        <x:v>Personal Care</x:v>
      </x:c>
      <x:c r="E37" s="10" t="n">
        <x:v>49</x:v>
      </x:c>
      <x:c r="F37" s="10" t="n">
        <x:v>49</x:v>
      </x:c>
      <x:c r="G37" s="10" t="n">
        <x:v>113</x:v>
      </x:c>
      <x:c r="H37" s="14" t="n">
        <x:v>13.12</x:v>
      </x:c>
      <x:c r="I37" s="14" t="n">
        <x:f>G37*H37</x:f>
        <x:v>1482.56</x:v>
      </x:c>
      <x:c r="J37" s="16" t="n">
        <x:f>IFERROR(F37/E37,0)</x:f>
        <x:v>1</x:v>
      </x:c>
      <x:c r="K37" s="10" t="str">
        <x:f>IF(J37&lt;0.90,"Stockout","Healthy")</x:f>
        <x:v>Healthy</x:v>
      </x:c>
    </x:row>
    <x:row r="38">
      <x:c r="A38" s="12" t="n">
        <x:v>46023</x:v>
      </x:c>
      <x:c r="B38" s="10" t="str">
        <x:v>Store 401</x:v>
      </x:c>
      <x:c r="C38" s="10" t="str">
        <x:v>North</x:v>
      </x:c>
      <x:c r="D38" s="10" t="str">
        <x:v>Pain Relief</x:v>
      </x:c>
      <x:c r="E38" s="10" t="n">
        <x:v>60</x:v>
      </x:c>
      <x:c r="F38" s="10" t="n">
        <x:v>56</x:v>
      </x:c>
      <x:c r="G38" s="10" t="n">
        <x:v>92</x:v>
      </x:c>
      <x:c r="H38" s="14" t="n">
        <x:v>12.87</x:v>
      </x:c>
      <x:c r="I38" s="14" t="n">
        <x:f>G38*H38</x:f>
        <x:v>1184.04</x:v>
      </x:c>
      <x:c r="J38" s="16" t="n">
        <x:f>IFERROR(F38/E38,0)</x:f>
        <x:v>0.9333333333333333</x:v>
      </x:c>
      <x:c r="K38" s="10" t="str">
        <x:f>IF(J38&lt;0.90,"Stockout","Healthy")</x:f>
        <x:v>Healthy</x:v>
      </x:c>
    </x:row>
    <x:row r="39">
      <x:c r="A39" s="12" t="n">
        <x:v>46023</x:v>
      </x:c>
      <x:c r="B39" s="10" t="str">
        <x:v>Store 401</x:v>
      </x:c>
      <x:c r="C39" s="10" t="str">
        <x:v>North</x:v>
      </x:c>
      <x:c r="D39" s="10" t="str">
        <x:v>Cold &amp; Cough</x:v>
      </x:c>
      <x:c r="E39" s="10" t="n">
        <x:v>52</x:v>
      </x:c>
      <x:c r="F39" s="10" t="n">
        <x:v>49</x:v>
      </x:c>
      <x:c r="G39" s="10" t="n">
        <x:v>106</x:v>
      </x:c>
      <x:c r="H39" s="14" t="n">
        <x:v>15.1</x:v>
      </x:c>
      <x:c r="I39" s="14" t="n">
        <x:f>G39*H39</x:f>
        <x:v>1600.6</x:v>
      </x:c>
      <x:c r="J39" s="16" t="n">
        <x:f>IFERROR(F39/E39,0)</x:f>
        <x:v>0.9423076923076923</x:v>
      </x:c>
      <x:c r="K39" s="10" t="str">
        <x:f>IF(J39&lt;0.90,"Stockout","Healthy")</x:f>
        <x:v>Healthy</x:v>
      </x:c>
    </x:row>
    <x:row r="40">
      <x:c r="A40" s="12" t="n">
        <x:v>46023</x:v>
      </x:c>
      <x:c r="B40" s="10" t="str">
        <x:v>Store 401</x:v>
      </x:c>
      <x:c r="C40" s="10" t="str">
        <x:v>North</x:v>
      </x:c>
      <x:c r="D40" s="10" t="str">
        <x:v>Digestive Care</x:v>
      </x:c>
      <x:c r="E40" s="10" t="n">
        <x:v>36</x:v>
      </x:c>
      <x:c r="F40" s="10" t="n">
        <x:v>35</x:v>
      </x:c>
      <x:c r="G40" s="10" t="n">
        <x:v>105</x:v>
      </x:c>
      <x:c r="H40" s="14" t="n">
        <x:v>16.7</x:v>
      </x:c>
      <x:c r="I40" s="14" t="n">
        <x:f>G40*H40</x:f>
        <x:v>1753.5</x:v>
      </x:c>
      <x:c r="J40" s="16" t="n">
        <x:f>IFERROR(F40/E40,0)</x:f>
        <x:v>0.9722222222222222</x:v>
      </x:c>
      <x:c r="K40" s="10" t="str">
        <x:f>IF(J40&lt;0.90,"Stockout","Healthy")</x:f>
        <x:v>Healthy</x:v>
      </x:c>
    </x:row>
    <x:row r="41">
      <x:c r="A41" s="12" t="n">
        <x:v>46023</x:v>
      </x:c>
      <x:c r="B41" s="10" t="str">
        <x:v>Store 401</x:v>
      </x:c>
      <x:c r="C41" s="10" t="str">
        <x:v>North</x:v>
      </x:c>
      <x:c r="D41" s="10" t="str">
        <x:v>First Aid</x:v>
      </x:c>
      <x:c r="E41" s="10" t="n">
        <x:v>55</x:v>
      </x:c>
      <x:c r="F41" s="10" t="n">
        <x:v>48</x:v>
      </x:c>
      <x:c r="G41" s="10" t="n">
        <x:v>114</x:v>
      </x:c>
      <x:c r="H41" s="14" t="n">
        <x:v>9.1</x:v>
      </x:c>
      <x:c r="I41" s="14" t="n">
        <x:f>G41*H41</x:f>
        <x:v>1037.3999999999999</x:v>
      </x:c>
      <x:c r="J41" s="16" t="n">
        <x:f>IFERROR(F41/E41,0)</x:f>
        <x:v>0.8727272727272727</x:v>
      </x:c>
      <x:c r="K41" s="10" t="str">
        <x:f>IF(J41&lt;0.90,"Stockout","Healthy")</x:f>
        <x:v>Stockout</x:v>
      </x:c>
    </x:row>
    <x:row r="42">
      <x:c r="A42" s="12" t="n">
        <x:v>46023</x:v>
      </x:c>
      <x:c r="B42" s="10" t="str">
        <x:v>Store 401</x:v>
      </x:c>
      <x:c r="C42" s="10" t="str">
        <x:v>North</x:v>
      </x:c>
      <x:c r="D42" s="10" t="str">
        <x:v>Vitamins</x:v>
      </x:c>
      <x:c r="E42" s="10" t="n">
        <x:v>53</x:v>
      </x:c>
      <x:c r="F42" s="10" t="n">
        <x:v>47</x:v>
      </x:c>
      <x:c r="G42" s="10" t="n">
        <x:v>117</x:v>
      </x:c>
      <x:c r="H42" s="14" t="n">
        <x:v>22.41</x:v>
      </x:c>
      <x:c r="I42" s="14" t="n">
        <x:f>G42*H42</x:f>
        <x:v>2621.97</x:v>
      </x:c>
      <x:c r="J42" s="16" t="n">
        <x:f>IFERROR(F42/E42,0)</x:f>
        <x:v>0.8867924528301887</x:v>
      </x:c>
      <x:c r="K42" s="10" t="str">
        <x:f>IF(J42&lt;0.90,"Stockout","Healthy")</x:f>
        <x:v>Stockout</x:v>
      </x:c>
    </x:row>
    <x:row r="43">
      <x:c r="A43" s="12" t="n">
        <x:v>46023</x:v>
      </x:c>
      <x:c r="B43" s="10" t="str">
        <x:v>Store 401</x:v>
      </x:c>
      <x:c r="C43" s="10" t="str">
        <x:v>North</x:v>
      </x:c>
      <x:c r="D43" s="10" t="str">
        <x:v>Personal Care</x:v>
      </x:c>
      <x:c r="E43" s="10" t="n">
        <x:v>57</x:v>
      </x:c>
      <x:c r="F43" s="10" t="n">
        <x:v>51</x:v>
      </x:c>
      <x:c r="G43" s="10" t="n">
        <x:v>73</x:v>
      </x:c>
      <x:c r="H43" s="14" t="n">
        <x:v>11.85</x:v>
      </x:c>
      <x:c r="I43" s="14" t="n">
        <x:f>G43*H43</x:f>
        <x:v>865.05</x:v>
      </x:c>
      <x:c r="J43" s="16" t="n">
        <x:f>IFERROR(F43/E43,0)</x:f>
        <x:v>0.8947368421052632</x:v>
      </x:c>
      <x:c r="K43" s="10" t="str">
        <x:f>IF(J43&lt;0.90,"Stockout","Healthy")</x:f>
        <x:v>Stockout</x:v>
      </x:c>
    </x:row>
    <x:row r="44">
      <x:c r="A44" s="12" t="n">
        <x:v>46023</x:v>
      </x:c>
      <x:c r="B44" s="10" t="str">
        <x:v>Store 402</x:v>
      </x:c>
      <x:c r="C44" s="10" t="str">
        <x:v>North</x:v>
      </x:c>
      <x:c r="D44" s="10" t="str">
        <x:v>Pain Relief</x:v>
      </x:c>
      <x:c r="E44" s="10" t="n">
        <x:v>55</x:v>
      </x:c>
      <x:c r="F44" s="10" t="n">
        <x:v>49</x:v>
      </x:c>
      <x:c r="G44" s="10" t="n">
        <x:v>90</x:v>
      </x:c>
      <x:c r="H44" s="14" t="n">
        <x:v>13.69</x:v>
      </x:c>
      <x:c r="I44" s="14" t="n">
        <x:f>G44*H44</x:f>
        <x:v>1232.1</x:v>
      </x:c>
      <x:c r="J44" s="16" t="n">
        <x:f>IFERROR(F44/E44,0)</x:f>
        <x:v>0.8909090909090909</x:v>
      </x:c>
      <x:c r="K44" s="10" t="str">
        <x:f>IF(J44&lt;0.90,"Stockout","Healthy")</x:f>
        <x:v>Stockout</x:v>
      </x:c>
    </x:row>
    <x:row r="45">
      <x:c r="A45" s="12" t="n">
        <x:v>46023</x:v>
      </x:c>
      <x:c r="B45" s="10" t="str">
        <x:v>Store 402</x:v>
      </x:c>
      <x:c r="C45" s="10" t="str">
        <x:v>North</x:v>
      </x:c>
      <x:c r="D45" s="10" t="str">
        <x:v>Cold &amp; Cough</x:v>
      </x:c>
      <x:c r="E45" s="10" t="n">
        <x:v>37</x:v>
      </x:c>
      <x:c r="F45" s="10" t="n">
        <x:v>34</x:v>
      </x:c>
      <x:c r="G45" s="10" t="n">
        <x:v>121</x:v>
      </x:c>
      <x:c r="H45" s="14" t="n">
        <x:v>13.57</x:v>
      </x:c>
      <x:c r="I45" s="14" t="n">
        <x:f>G45*H45</x:f>
        <x:v>1641.97</x:v>
      </x:c>
      <x:c r="J45" s="16" t="n">
        <x:f>IFERROR(F45/E45,0)</x:f>
        <x:v>0.918918918918919</x:v>
      </x:c>
      <x:c r="K45" s="10" t="str">
        <x:f>IF(J45&lt;0.90,"Stockout","Healthy")</x:f>
        <x:v>Healthy</x:v>
      </x:c>
    </x:row>
    <x:row r="46">
      <x:c r="A46" s="12" t="n">
        <x:v>46023</x:v>
      </x:c>
      <x:c r="B46" s="10" t="str">
        <x:v>Store 402</x:v>
      </x:c>
      <x:c r="C46" s="10" t="str">
        <x:v>North</x:v>
      </x:c>
      <x:c r="D46" s="10" t="str">
        <x:v>Digestive Care</x:v>
      </x:c>
      <x:c r="E46" s="10" t="n">
        <x:v>51</x:v>
      </x:c>
      <x:c r="F46" s="10" t="n">
        <x:v>47</x:v>
      </x:c>
      <x:c r="G46" s="10" t="n">
        <x:v>130</x:v>
      </x:c>
      <x:c r="H46" s="14" t="n">
        <x:v>16.48</x:v>
      </x:c>
      <x:c r="I46" s="14" t="n">
        <x:f>G46*H46</x:f>
        <x:v>2142.4</x:v>
      </x:c>
      <x:c r="J46" s="16" t="n">
        <x:f>IFERROR(F46/E46,0)</x:f>
        <x:v>0.9215686274509803</x:v>
      </x:c>
      <x:c r="K46" s="10" t="str">
        <x:f>IF(J46&lt;0.90,"Stockout","Healthy")</x:f>
        <x:v>Healthy</x:v>
      </x:c>
    </x:row>
    <x:row r="47">
      <x:c r="A47" s="12" t="n">
        <x:v>46023</x:v>
      </x:c>
      <x:c r="B47" s="10" t="str">
        <x:v>Store 402</x:v>
      </x:c>
      <x:c r="C47" s="10" t="str">
        <x:v>North</x:v>
      </x:c>
      <x:c r="D47" s="10" t="str">
        <x:v>First Aid</x:v>
      </x:c>
      <x:c r="E47" s="10" t="n">
        <x:v>54</x:v>
      </x:c>
      <x:c r="F47" s="10" t="n">
        <x:v>51</x:v>
      </x:c>
      <x:c r="G47" s="10" t="n">
        <x:v>116</x:v>
      </x:c>
      <x:c r="H47" s="14" t="n">
        <x:v>8.62</x:v>
      </x:c>
      <x:c r="I47" s="14" t="n">
        <x:f>G47*H47</x:f>
        <x:v>999.92</x:v>
      </x:c>
      <x:c r="J47" s="16" t="n">
        <x:f>IFERROR(F47/E47,0)</x:f>
        <x:v>0.9444444444444444</x:v>
      </x:c>
      <x:c r="K47" s="10" t="str">
        <x:f>IF(J47&lt;0.90,"Stockout","Healthy")</x:f>
        <x:v>Healthy</x:v>
      </x:c>
    </x:row>
    <x:row r="48">
      <x:c r="A48" s="12" t="n">
        <x:v>46023</x:v>
      </x:c>
      <x:c r="B48" s="10" t="str">
        <x:v>Store 402</x:v>
      </x:c>
      <x:c r="C48" s="10" t="str">
        <x:v>North</x:v>
      </x:c>
      <x:c r="D48" s="10" t="str">
        <x:v>Vitamins</x:v>
      </x:c>
      <x:c r="E48" s="10" t="n">
        <x:v>44</x:v>
      </x:c>
      <x:c r="F48" s="10" t="n">
        <x:v>42</x:v>
      </x:c>
      <x:c r="G48" s="10" t="n">
        <x:v>120</x:v>
      </x:c>
      <x:c r="H48" s="14" t="n">
        <x:v>23.04</x:v>
      </x:c>
      <x:c r="I48" s="14" t="n">
        <x:f>G48*H48</x:f>
        <x:v>2764.7999999999997</x:v>
      </x:c>
      <x:c r="J48" s="16" t="n">
        <x:f>IFERROR(F48/E48,0)</x:f>
        <x:v>0.9545454545454546</x:v>
      </x:c>
      <x:c r="K48" s="10" t="str">
        <x:f>IF(J48&lt;0.90,"Stockout","Healthy")</x:f>
        <x:v>Healthy</x:v>
      </x:c>
    </x:row>
    <x:row r="49">
      <x:c r="A49" s="12" t="n">
        <x:v>46023</x:v>
      </x:c>
      <x:c r="B49" s="10" t="str">
        <x:v>Store 402</x:v>
      </x:c>
      <x:c r="C49" s="10" t="str">
        <x:v>North</x:v>
      </x:c>
      <x:c r="D49" s="10" t="str">
        <x:v>Personal Care</x:v>
      </x:c>
      <x:c r="E49" s="10" t="n">
        <x:v>40</x:v>
      </x:c>
      <x:c r="F49" s="10" t="n">
        <x:v>34</x:v>
      </x:c>
      <x:c r="G49" s="10" t="n">
        <x:v>102</x:v>
      </x:c>
      <x:c r="H49" s="14" t="n">
        <x:v>13.13</x:v>
      </x:c>
      <x:c r="I49" s="14" t="n">
        <x:f>G49*H49</x:f>
        <x:v>1339.26</x:v>
      </x:c>
      <x:c r="J49" s="16" t="n">
        <x:f>IFERROR(F49/E49,0)</x:f>
        <x:v>0.85</x:v>
      </x:c>
      <x:c r="K49" s="10" t="str">
        <x:f>IF(J49&lt;0.90,"Stockout","Healthy")</x:f>
        <x:v>Stockout</x:v>
      </x:c>
    </x:row>
    <x:row r="50">
      <x:c r="A50" s="12" t="n">
        <x:v>46023</x:v>
      </x:c>
      <x:c r="B50" s="10" t="str">
        <x:v>Store 501</x:v>
      </x:c>
      <x:c r="C50" s="10" t="str">
        <x:v>South</x:v>
      </x:c>
      <x:c r="D50" s="10" t="str">
        <x:v>Pain Relief</x:v>
      </x:c>
      <x:c r="E50" s="10" t="n">
        <x:v>52</x:v>
      </x:c>
      <x:c r="F50" s="10" t="n">
        <x:v>44</x:v>
      </x:c>
      <x:c r="G50" s="10" t="n">
        <x:v>123</x:v>
      </x:c>
      <x:c r="H50" s="14" t="n">
        <x:v>14.55</x:v>
      </x:c>
      <x:c r="I50" s="14" t="n">
        <x:f>G50*H50</x:f>
        <x:v>1789.65</x:v>
      </x:c>
      <x:c r="J50" s="16" t="n">
        <x:f>IFERROR(F50/E50,0)</x:f>
        <x:v>0.8461538461538461</x:v>
      </x:c>
      <x:c r="K50" s="10" t="str">
        <x:f>IF(J50&lt;0.90,"Stockout","Healthy")</x:f>
        <x:v>Stockout</x:v>
      </x:c>
    </x:row>
    <x:row r="51">
      <x:c r="A51" s="12" t="n">
        <x:v>46023</x:v>
      </x:c>
      <x:c r="B51" s="10" t="str">
        <x:v>Store 501</x:v>
      </x:c>
      <x:c r="C51" s="10" t="str">
        <x:v>South</x:v>
      </x:c>
      <x:c r="D51" s="10" t="str">
        <x:v>Cold &amp; Cough</x:v>
      </x:c>
      <x:c r="E51" s="10" t="n">
        <x:v>40</x:v>
      </x:c>
      <x:c r="F51" s="10" t="n">
        <x:v>39</x:v>
      </x:c>
      <x:c r="G51" s="10" t="n">
        <x:v>136</x:v>
      </x:c>
      <x:c r="H51" s="14" t="n">
        <x:v>14.67</x:v>
      </x:c>
      <x:c r="I51" s="14" t="n">
        <x:f>G51*H51</x:f>
        <x:v>1995.12</x:v>
      </x:c>
      <x:c r="J51" s="16" t="n">
        <x:f>IFERROR(F51/E51,0)</x:f>
        <x:v>0.975</x:v>
      </x:c>
      <x:c r="K51" s="10" t="str">
        <x:f>IF(J51&lt;0.90,"Stockout","Healthy")</x:f>
        <x:v>Healthy</x:v>
      </x:c>
    </x:row>
    <x:row r="52">
      <x:c r="A52" s="12" t="n">
        <x:v>46023</x:v>
      </x:c>
      <x:c r="B52" s="10" t="str">
        <x:v>Store 501</x:v>
      </x:c>
      <x:c r="C52" s="10" t="str">
        <x:v>South</x:v>
      </x:c>
      <x:c r="D52" s="10" t="str">
        <x:v>Digestive Care</x:v>
      </x:c>
      <x:c r="E52" s="10" t="n">
        <x:v>47</x:v>
      </x:c>
      <x:c r="F52" s="10" t="n">
        <x:v>40</x:v>
      </x:c>
      <x:c r="G52" s="10" t="n">
        <x:v>123</x:v>
      </x:c>
      <x:c r="H52" s="14" t="n">
        <x:v>18.87</x:v>
      </x:c>
      <x:c r="I52" s="14" t="n">
        <x:f>G52*H52</x:f>
        <x:v>2321.01</x:v>
      </x:c>
      <x:c r="J52" s="16" t="n">
        <x:f>IFERROR(F52/E52,0)</x:f>
        <x:v>0.851063829787234</x:v>
      </x:c>
      <x:c r="K52" s="10" t="str">
        <x:f>IF(J52&lt;0.90,"Stockout","Healthy")</x:f>
        <x:v>Stockout</x:v>
      </x:c>
    </x:row>
    <x:row r="53">
      <x:c r="A53" s="12" t="n">
        <x:v>46023</x:v>
      </x:c>
      <x:c r="B53" s="10" t="str">
        <x:v>Store 501</x:v>
      </x:c>
      <x:c r="C53" s="10" t="str">
        <x:v>South</x:v>
      </x:c>
      <x:c r="D53" s="10" t="str">
        <x:v>First Aid</x:v>
      </x:c>
      <x:c r="E53" s="10" t="n">
        <x:v>54</x:v>
      </x:c>
      <x:c r="F53" s="10" t="n">
        <x:v>52</x:v>
      </x:c>
      <x:c r="G53" s="10" t="n">
        <x:v>130</x:v>
      </x:c>
      <x:c r="H53" s="14" t="n">
        <x:v>9.26</x:v>
      </x:c>
      <x:c r="I53" s="14" t="n">
        <x:f>G53*H53</x:f>
        <x:v>1203.8</x:v>
      </x:c>
      <x:c r="J53" s="16" t="n">
        <x:f>IFERROR(F53/E53,0)</x:f>
        <x:v>0.9629629629629629</x:v>
      </x:c>
      <x:c r="K53" s="10" t="str">
        <x:f>IF(J53&lt;0.90,"Stockout","Healthy")</x:f>
        <x:v>Healthy</x:v>
      </x:c>
    </x:row>
    <x:row r="54">
      <x:c r="A54" s="12" t="n">
        <x:v>46023</x:v>
      </x:c>
      <x:c r="B54" s="10" t="str">
        <x:v>Store 501</x:v>
      </x:c>
      <x:c r="C54" s="10" t="str">
        <x:v>South</x:v>
      </x:c>
      <x:c r="D54" s="10" t="str">
        <x:v>Vitamins</x:v>
      </x:c>
      <x:c r="E54" s="10" t="n">
        <x:v>37</x:v>
      </x:c>
      <x:c r="F54" s="10" t="n">
        <x:v>34</x:v>
      </x:c>
      <x:c r="G54" s="10" t="n">
        <x:v>131</x:v>
      </x:c>
      <x:c r="H54" s="14" t="n">
        <x:v>21.97</x:v>
      </x:c>
      <x:c r="I54" s="14" t="n">
        <x:f>G54*H54</x:f>
        <x:v>2878.0699999999997</x:v>
      </x:c>
      <x:c r="J54" s="16" t="n">
        <x:f>IFERROR(F54/E54,0)</x:f>
        <x:v>0.918918918918919</x:v>
      </x:c>
      <x:c r="K54" s="10" t="str">
        <x:f>IF(J54&lt;0.90,"Stockout","Healthy")</x:f>
        <x:v>Healthy</x:v>
      </x:c>
    </x:row>
    <x:row r="55">
      <x:c r="A55" s="12" t="n">
        <x:v>46023</x:v>
      </x:c>
      <x:c r="B55" s="10" t="str">
        <x:v>Store 501</x:v>
      </x:c>
      <x:c r="C55" s="10" t="str">
        <x:v>South</x:v>
      </x:c>
      <x:c r="D55" s="10" t="str">
        <x:v>Personal Care</x:v>
      </x:c>
      <x:c r="E55" s="10" t="n">
        <x:v>47</x:v>
      </x:c>
      <x:c r="F55" s="10" t="n">
        <x:v>44</x:v>
      </x:c>
      <x:c r="G55" s="10" t="n">
        <x:v>141</x:v>
      </x:c>
      <x:c r="H55" s="14" t="n">
        <x:v>13.11</x:v>
      </x:c>
      <x:c r="I55" s="14" t="n">
        <x:f>G55*H55</x:f>
        <x:v>1848.51</x:v>
      </x:c>
      <x:c r="J55" s="16" t="n">
        <x:f>IFERROR(F55/E55,0)</x:f>
        <x:v>0.9361702127659575</x:v>
      </x:c>
      <x:c r="K55" s="10" t="str">
        <x:f>IF(J55&lt;0.90,"Stockout","Healthy")</x:f>
        <x:v>Healthy</x:v>
      </x:c>
    </x:row>
    <x:row r="56">
      <x:c r="A56" s="12" t="n">
        <x:v>46023</x:v>
      </x:c>
      <x:c r="B56" s="10" t="str">
        <x:v>Store 502</x:v>
      </x:c>
      <x:c r="C56" s="10" t="str">
        <x:v>South</x:v>
      </x:c>
      <x:c r="D56" s="10" t="str">
        <x:v>Pain Relief</x:v>
      </x:c>
      <x:c r="E56" s="10" t="n">
        <x:v>36</x:v>
      </x:c>
      <x:c r="F56" s="10" t="n">
        <x:v>30</x:v>
      </x:c>
      <x:c r="G56" s="10" t="n">
        <x:v>135</x:v>
      </x:c>
      <x:c r="H56" s="14" t="n">
        <x:v>13.78</x:v>
      </x:c>
      <x:c r="I56" s="14" t="n">
        <x:f>G56*H56</x:f>
        <x:v>1860.3</x:v>
      </x:c>
      <x:c r="J56" s="16" t="n">
        <x:f>IFERROR(F56/E56,0)</x:f>
        <x:v>0.8333333333333334</x:v>
      </x:c>
      <x:c r="K56" s="10" t="str">
        <x:f>IF(J56&lt;0.90,"Stockout","Healthy")</x:f>
        <x:v>Stockout</x:v>
      </x:c>
    </x:row>
    <x:row r="57">
      <x:c r="A57" s="12" t="n">
        <x:v>46023</x:v>
      </x:c>
      <x:c r="B57" s="10" t="str">
        <x:v>Store 502</x:v>
      </x:c>
      <x:c r="C57" s="10" t="str">
        <x:v>South</x:v>
      </x:c>
      <x:c r="D57" s="10" t="str">
        <x:v>Cold &amp; Cough</x:v>
      </x:c>
      <x:c r="E57" s="10" t="n">
        <x:v>35</x:v>
      </x:c>
      <x:c r="F57" s="10" t="n">
        <x:v>31</x:v>
      </x:c>
      <x:c r="G57" s="10" t="n">
        <x:v>92</x:v>
      </x:c>
      <x:c r="H57" s="14" t="n">
        <x:v>13.55</x:v>
      </x:c>
      <x:c r="I57" s="14" t="n">
        <x:f>G57*H57</x:f>
        <x:v>1246.6000000000001</x:v>
      </x:c>
      <x:c r="J57" s="16" t="n">
        <x:f>IFERROR(F57/E57,0)</x:f>
        <x:v>0.8857142857142857</x:v>
      </x:c>
      <x:c r="K57" s="10" t="str">
        <x:f>IF(J57&lt;0.90,"Stockout","Healthy")</x:f>
        <x:v>Stockout</x:v>
      </x:c>
    </x:row>
    <x:row r="58">
      <x:c r="A58" s="12" t="n">
        <x:v>46023</x:v>
      </x:c>
      <x:c r="B58" s="10" t="str">
        <x:v>Store 502</x:v>
      </x:c>
      <x:c r="C58" s="10" t="str">
        <x:v>South</x:v>
      </x:c>
      <x:c r="D58" s="10" t="str">
        <x:v>Digestive Care</x:v>
      </x:c>
      <x:c r="E58" s="10" t="n">
        <x:v>36</x:v>
      </x:c>
      <x:c r="F58" s="10" t="n">
        <x:v>36</x:v>
      </x:c>
      <x:c r="G58" s="10" t="n">
        <x:v>96</x:v>
      </x:c>
      <x:c r="H58" s="14" t="n">
        <x:v>16.86</x:v>
      </x:c>
      <x:c r="I58" s="14" t="n">
        <x:f>G58*H58</x:f>
        <x:v>1618.56</x:v>
      </x:c>
      <x:c r="J58" s="16" t="n">
        <x:f>IFERROR(F58/E58,0)</x:f>
        <x:v>1</x:v>
      </x:c>
      <x:c r="K58" s="10" t="str">
        <x:f>IF(J58&lt;0.90,"Stockout","Healthy")</x:f>
        <x:v>Healthy</x:v>
      </x:c>
    </x:row>
    <x:row r="59">
      <x:c r="A59" s="12" t="n">
        <x:v>46023</x:v>
      </x:c>
      <x:c r="B59" s="10" t="str">
        <x:v>Store 502</x:v>
      </x:c>
      <x:c r="C59" s="10" t="str">
        <x:v>South</x:v>
      </x:c>
      <x:c r="D59" s="10" t="str">
        <x:v>First Aid</x:v>
      </x:c>
      <x:c r="E59" s="10" t="n">
        <x:v>49</x:v>
      </x:c>
      <x:c r="F59" s="10" t="n">
        <x:v>41</x:v>
      </x:c>
      <x:c r="G59" s="10" t="n">
        <x:v>124</x:v>
      </x:c>
      <x:c r="H59" s="14" t="n">
        <x:v>10.44</x:v>
      </x:c>
      <x:c r="I59" s="14" t="n">
        <x:f>G59*H59</x:f>
        <x:v>1294.56</x:v>
      </x:c>
      <x:c r="J59" s="16" t="n">
        <x:f>IFERROR(F59/E59,0)</x:f>
        <x:v>0.8367346938775511</x:v>
      </x:c>
      <x:c r="K59" s="10" t="str">
        <x:f>IF(J59&lt;0.90,"Stockout","Healthy")</x:f>
        <x:v>Stockout</x:v>
      </x:c>
    </x:row>
    <x:row r="60">
      <x:c r="A60" s="12" t="n">
        <x:v>46023</x:v>
      </x:c>
      <x:c r="B60" s="10" t="str">
        <x:v>Store 502</x:v>
      </x:c>
      <x:c r="C60" s="10" t="str">
        <x:v>South</x:v>
      </x:c>
      <x:c r="D60" s="10" t="str">
        <x:v>Vitamins</x:v>
      </x:c>
      <x:c r="E60" s="10" t="n">
        <x:v>39</x:v>
      </x:c>
      <x:c r="F60" s="10" t="n">
        <x:v>32</x:v>
      </x:c>
      <x:c r="G60" s="10" t="n">
        <x:v>168</x:v>
      </x:c>
      <x:c r="H60" s="14" t="n">
        <x:v>21.08</x:v>
      </x:c>
      <x:c r="I60" s="14" t="n">
        <x:f>G60*H60</x:f>
        <x:v>3541.4399999999996</x:v>
      </x:c>
      <x:c r="J60" s="16" t="n">
        <x:f>IFERROR(F60/E60,0)</x:f>
        <x:v>0.8205128205128205</x:v>
      </x:c>
      <x:c r="K60" s="10" t="str">
        <x:f>IF(J60&lt;0.90,"Stockout","Healthy")</x:f>
        <x:v>Stockout</x:v>
      </x:c>
    </x:row>
    <x:row r="61">
      <x:c r="A61" s="12" t="n">
        <x:v>46023</x:v>
      </x:c>
      <x:c r="B61" s="10" t="str">
        <x:v>Store 502</x:v>
      </x:c>
      <x:c r="C61" s="10" t="str">
        <x:v>South</x:v>
      </x:c>
      <x:c r="D61" s="10" t="str">
        <x:v>Personal Care</x:v>
      </x:c>
      <x:c r="E61" s="10" t="n">
        <x:v>59</x:v>
      </x:c>
      <x:c r="F61" s="10" t="n">
        <x:v>55</x:v>
      </x:c>
      <x:c r="G61" s="10" t="n">
        <x:v>98</x:v>
      </x:c>
      <x:c r="H61" s="14" t="n">
        <x:v>12.64</x:v>
      </x:c>
      <x:c r="I61" s="14" t="n">
        <x:f>G61*H61</x:f>
        <x:v>1238.72</x:v>
      </x:c>
      <x:c r="J61" s="16" t="n">
        <x:f>IFERROR(F61/E61,0)</x:f>
        <x:v>0.9322033898305084</x:v>
      </x:c>
      <x:c r="K61" s="10" t="str">
        <x:f>IF(J61&lt;0.90,"Stockout","Healthy")</x:f>
        <x:v>Healthy</x:v>
      </x:c>
    </x:row>
    <x:row r="62">
      <x:c r="A62" s="12" t="n">
        <x:v>46054</x:v>
      </x:c>
      <x:c r="B62" s="10" t="str">
        <x:v>Store 101</x:v>
      </x:c>
      <x:c r="C62" s="10" t="str">
        <x:v>Central</x:v>
      </x:c>
      <x:c r="D62" s="10" t="str">
        <x:v>Pain Relief</x:v>
      </x:c>
      <x:c r="E62" s="10" t="n">
        <x:v>57</x:v>
      </x:c>
      <x:c r="F62" s="10" t="n">
        <x:v>56</x:v>
      </x:c>
      <x:c r="G62" s="10" t="n">
        <x:v>116</x:v>
      </x:c>
      <x:c r="H62" s="14" t="n">
        <x:v>14.28</x:v>
      </x:c>
      <x:c r="I62" s="14" t="n">
        <x:f>G62*H62</x:f>
        <x:v>1656.48</x:v>
      </x:c>
      <x:c r="J62" s="16" t="n">
        <x:f>IFERROR(F62/E62,0)</x:f>
        <x:v>0.9824561403508771</x:v>
      </x:c>
      <x:c r="K62" s="10" t="str">
        <x:f>IF(J62&lt;0.90,"Stockout","Healthy")</x:f>
        <x:v>Healthy</x:v>
      </x:c>
    </x:row>
    <x:row r="63">
      <x:c r="A63" s="12" t="n">
        <x:v>46054</x:v>
      </x:c>
      <x:c r="B63" s="10" t="str">
        <x:v>Store 101</x:v>
      </x:c>
      <x:c r="C63" s="10" t="str">
        <x:v>Central</x:v>
      </x:c>
      <x:c r="D63" s="10" t="str">
        <x:v>Cold &amp; Cough</x:v>
      </x:c>
      <x:c r="E63" s="10" t="n">
        <x:v>38</x:v>
      </x:c>
      <x:c r="F63" s="10" t="n">
        <x:v>36</x:v>
      </x:c>
      <x:c r="G63" s="10" t="n">
        <x:v>133</x:v>
      </x:c>
      <x:c r="H63" s="14" t="n">
        <x:v>13.69</x:v>
      </x:c>
      <x:c r="I63" s="14" t="n">
        <x:f>G63*H63</x:f>
        <x:v>1820.77</x:v>
      </x:c>
      <x:c r="J63" s="16" t="n">
        <x:f>IFERROR(F63/E63,0)</x:f>
        <x:v>0.9473684210526315</x:v>
      </x:c>
      <x:c r="K63" s="10" t="str">
        <x:f>IF(J63&lt;0.90,"Stockout","Healthy")</x:f>
        <x:v>Healthy</x:v>
      </x:c>
    </x:row>
    <x:row r="64">
      <x:c r="A64" s="12" t="n">
        <x:v>46054</x:v>
      </x:c>
      <x:c r="B64" s="10" t="str">
        <x:v>Store 101</x:v>
      </x:c>
      <x:c r="C64" s="10" t="str">
        <x:v>Central</x:v>
      </x:c>
      <x:c r="D64" s="10" t="str">
        <x:v>Digestive Care</x:v>
      </x:c>
      <x:c r="E64" s="10" t="n">
        <x:v>57</x:v>
      </x:c>
      <x:c r="F64" s="10" t="n">
        <x:v>49</x:v>
      </x:c>
      <x:c r="G64" s="10" t="n">
        <x:v>106</x:v>
      </x:c>
      <x:c r="H64" s="14" t="n">
        <x:v>16.43</x:v>
      </x:c>
      <x:c r="I64" s="14" t="n">
        <x:f>G64*H64</x:f>
        <x:v>1741.58</x:v>
      </x:c>
      <x:c r="J64" s="16" t="n">
        <x:f>IFERROR(F64/E64,0)</x:f>
        <x:v>0.8596491228070176</x:v>
      </x:c>
      <x:c r="K64" s="10" t="str">
        <x:f>IF(J64&lt;0.90,"Stockout","Healthy")</x:f>
        <x:v>Stockout</x:v>
      </x:c>
    </x:row>
    <x:row r="65">
      <x:c r="A65" s="12" t="n">
        <x:v>46054</x:v>
      </x:c>
      <x:c r="B65" s="10" t="str">
        <x:v>Store 101</x:v>
      </x:c>
      <x:c r="C65" s="10" t="str">
        <x:v>Central</x:v>
      </x:c>
      <x:c r="D65" s="10" t="str">
        <x:v>First Aid</x:v>
      </x:c>
      <x:c r="E65" s="10" t="n">
        <x:v>52</x:v>
      </x:c>
      <x:c r="F65" s="10" t="n">
        <x:v>43</x:v>
      </x:c>
      <x:c r="G65" s="10" t="n">
        <x:v>125</x:v>
      </x:c>
      <x:c r="H65" s="14" t="n">
        <x:v>9.66</x:v>
      </x:c>
      <x:c r="I65" s="14" t="n">
        <x:f>G65*H65</x:f>
        <x:v>1207.5</x:v>
      </x:c>
      <x:c r="J65" s="16" t="n">
        <x:f>IFERROR(F65/E65,0)</x:f>
        <x:v>0.8269230769230769</x:v>
      </x:c>
      <x:c r="K65" s="10" t="str">
        <x:f>IF(J65&lt;0.90,"Stockout","Healthy")</x:f>
        <x:v>Stockout</x:v>
      </x:c>
    </x:row>
    <x:row r="66">
      <x:c r="A66" s="12" t="n">
        <x:v>46054</x:v>
      </x:c>
      <x:c r="B66" s="10" t="str">
        <x:v>Store 101</x:v>
      </x:c>
      <x:c r="C66" s="10" t="str">
        <x:v>Central</x:v>
      </x:c>
      <x:c r="D66" s="10" t="str">
        <x:v>Vitamins</x:v>
      </x:c>
      <x:c r="E66" s="10" t="n">
        <x:v>35</x:v>
      </x:c>
      <x:c r="F66" s="10" t="n">
        <x:v>33</x:v>
      </x:c>
      <x:c r="G66" s="10" t="n">
        <x:v>114</x:v>
      </x:c>
      <x:c r="H66" s="14" t="n">
        <x:v>20.7</x:v>
      </x:c>
      <x:c r="I66" s="14" t="n">
        <x:f>G66*H66</x:f>
        <x:v>2359.7999999999997</x:v>
      </x:c>
      <x:c r="J66" s="16" t="n">
        <x:f>IFERROR(F66/E66,0)</x:f>
        <x:v>0.9428571428571428</x:v>
      </x:c>
      <x:c r="K66" s="10" t="str">
        <x:f>IF(J66&lt;0.90,"Stockout","Healthy")</x:f>
        <x:v>Healthy</x:v>
      </x:c>
    </x:row>
    <x:row r="67">
      <x:c r="A67" s="12" t="n">
        <x:v>46054</x:v>
      </x:c>
      <x:c r="B67" s="10" t="str">
        <x:v>Store 101</x:v>
      </x:c>
      <x:c r="C67" s="10" t="str">
        <x:v>Central</x:v>
      </x:c>
      <x:c r="D67" s="10" t="str">
        <x:v>Personal Care</x:v>
      </x:c>
      <x:c r="E67" s="10" t="n">
        <x:v>53</x:v>
      </x:c>
      <x:c r="F67" s="10" t="n">
        <x:v>52</x:v>
      </x:c>
      <x:c r="G67" s="10" t="n">
        <x:v>137</x:v>
      </x:c>
      <x:c r="H67" s="14" t="n">
        <x:v>11.87</x:v>
      </x:c>
      <x:c r="I67" s="14" t="n">
        <x:f>G67*H67</x:f>
        <x:v>1626.1899999999998</x:v>
      </x:c>
      <x:c r="J67" s="16" t="n">
        <x:f>IFERROR(F67/E67,0)</x:f>
        <x:v>0.9811320754716981</x:v>
      </x:c>
      <x:c r="K67" s="10" t="str">
        <x:f>IF(J67&lt;0.90,"Stockout","Healthy")</x:f>
        <x:v>Healthy</x:v>
      </x:c>
    </x:row>
    <x:row r="68">
      <x:c r="A68" s="12" t="n">
        <x:v>46054</x:v>
      </x:c>
      <x:c r="B68" s="10" t="str">
        <x:v>Store 102</x:v>
      </x:c>
      <x:c r="C68" s="10" t="str">
        <x:v>Central</x:v>
      </x:c>
      <x:c r="D68" s="10" t="str">
        <x:v>Pain Relief</x:v>
      </x:c>
      <x:c r="E68" s="10" t="n">
        <x:v>52</x:v>
      </x:c>
      <x:c r="F68" s="10" t="n">
        <x:v>48</x:v>
      </x:c>
      <x:c r="G68" s="10" t="n">
        <x:v>153</x:v>
      </x:c>
      <x:c r="H68" s="14" t="n">
        <x:v>13.99</x:v>
      </x:c>
      <x:c r="I68" s="14" t="n">
        <x:f>G68*H68</x:f>
        <x:v>2140.4700000000003</x:v>
      </x:c>
      <x:c r="J68" s="16" t="n">
        <x:f>IFERROR(F68/E68,0)</x:f>
        <x:v>0.9230769230769231</x:v>
      </x:c>
      <x:c r="K68" s="10" t="str">
        <x:f>IF(J68&lt;0.90,"Stockout","Healthy")</x:f>
        <x:v>Healthy</x:v>
      </x:c>
    </x:row>
    <x:row r="69">
      <x:c r="A69" s="12" t="n">
        <x:v>46054</x:v>
      </x:c>
      <x:c r="B69" s="10" t="str">
        <x:v>Store 102</x:v>
      </x:c>
      <x:c r="C69" s="10" t="str">
        <x:v>Central</x:v>
      </x:c>
      <x:c r="D69" s="10" t="str">
        <x:v>Cold &amp; Cough</x:v>
      </x:c>
      <x:c r="E69" s="10" t="n">
        <x:v>47</x:v>
      </x:c>
      <x:c r="F69" s="10" t="n">
        <x:v>42</x:v>
      </x:c>
      <x:c r="G69" s="10" t="n">
        <x:v>93</x:v>
      </x:c>
      <x:c r="H69" s="14" t="n">
        <x:v>14.54</x:v>
      </x:c>
      <x:c r="I69" s="14" t="n">
        <x:f>G69*H69</x:f>
        <x:v>1352.22</x:v>
      </x:c>
      <x:c r="J69" s="16" t="n">
        <x:f>IFERROR(F69/E69,0)</x:f>
        <x:v>0.8936170212765957</x:v>
      </x:c>
      <x:c r="K69" s="10" t="str">
        <x:f>IF(J69&lt;0.90,"Stockout","Healthy")</x:f>
        <x:v>Stockout</x:v>
      </x:c>
    </x:row>
    <x:row r="70">
      <x:c r="A70" s="12" t="n">
        <x:v>46054</x:v>
      </x:c>
      <x:c r="B70" s="10" t="str">
        <x:v>Store 102</x:v>
      </x:c>
      <x:c r="C70" s="10" t="str">
        <x:v>Central</x:v>
      </x:c>
      <x:c r="D70" s="10" t="str">
        <x:v>Digestive Care</x:v>
      </x:c>
      <x:c r="E70" s="10" t="n">
        <x:v>42</x:v>
      </x:c>
      <x:c r="F70" s="10" t="n">
        <x:v>40</x:v>
      </x:c>
      <x:c r="G70" s="10" t="n">
        <x:v>158</x:v>
      </x:c>
      <x:c r="H70" s="14" t="n">
        <x:v>17.15</x:v>
      </x:c>
      <x:c r="I70" s="14" t="n">
        <x:f>G70*H70</x:f>
        <x:v>2709.7</x:v>
      </x:c>
      <x:c r="J70" s="16" t="n">
        <x:f>IFERROR(F70/E70,0)</x:f>
        <x:v>0.9523809523809523</x:v>
      </x:c>
      <x:c r="K70" s="10" t="str">
        <x:f>IF(J70&lt;0.90,"Stockout","Healthy")</x:f>
        <x:v>Healthy</x:v>
      </x:c>
    </x:row>
    <x:row r="71">
      <x:c r="A71" s="12" t="n">
        <x:v>46054</x:v>
      </x:c>
      <x:c r="B71" s="10" t="str">
        <x:v>Store 102</x:v>
      </x:c>
      <x:c r="C71" s="10" t="str">
        <x:v>Central</x:v>
      </x:c>
      <x:c r="D71" s="10" t="str">
        <x:v>First Aid</x:v>
      </x:c>
      <x:c r="E71" s="10" t="n">
        <x:v>46</x:v>
      </x:c>
      <x:c r="F71" s="10" t="n">
        <x:v>45</x:v>
      </x:c>
      <x:c r="G71" s="10" t="n">
        <x:v>146</x:v>
      </x:c>
      <x:c r="H71" s="14" t="n">
        <x:v>9.51</x:v>
      </x:c>
      <x:c r="I71" s="14" t="n">
        <x:f>G71*H71</x:f>
        <x:v>1388.46</x:v>
      </x:c>
      <x:c r="J71" s="16" t="n">
        <x:f>IFERROR(F71/E71,0)</x:f>
        <x:v>0.9782608695652174</x:v>
      </x:c>
      <x:c r="K71" s="10" t="str">
        <x:f>IF(J71&lt;0.90,"Stockout","Healthy")</x:f>
        <x:v>Healthy</x:v>
      </x:c>
    </x:row>
    <x:row r="72">
      <x:c r="A72" s="12" t="n">
        <x:v>46054</x:v>
      </x:c>
      <x:c r="B72" s="10" t="str">
        <x:v>Store 102</x:v>
      </x:c>
      <x:c r="C72" s="10" t="str">
        <x:v>Central</x:v>
      </x:c>
      <x:c r="D72" s="10" t="str">
        <x:v>Vitamins</x:v>
      </x:c>
      <x:c r="E72" s="10" t="n">
        <x:v>58</x:v>
      </x:c>
      <x:c r="F72" s="10" t="n">
        <x:v>54</x:v>
      </x:c>
      <x:c r="G72" s="10" t="n">
        <x:v>118</x:v>
      </x:c>
      <x:c r="H72" s="14" t="n">
        <x:v>22.81</x:v>
      </x:c>
      <x:c r="I72" s="14" t="n">
        <x:f>G72*H72</x:f>
        <x:v>2691.58</x:v>
      </x:c>
      <x:c r="J72" s="16" t="n">
        <x:f>IFERROR(F72/E72,0)</x:f>
        <x:v>0.9310344827586207</x:v>
      </x:c>
      <x:c r="K72" s="10" t="str">
        <x:f>IF(J72&lt;0.90,"Stockout","Healthy")</x:f>
        <x:v>Healthy</x:v>
      </x:c>
    </x:row>
    <x:row r="73">
      <x:c r="A73" s="12" t="n">
        <x:v>46054</x:v>
      </x:c>
      <x:c r="B73" s="10" t="str">
        <x:v>Store 102</x:v>
      </x:c>
      <x:c r="C73" s="10" t="str">
        <x:v>Central</x:v>
      </x:c>
      <x:c r="D73" s="10" t="str">
        <x:v>Personal Care</x:v>
      </x:c>
      <x:c r="E73" s="10" t="n">
        <x:v>52</x:v>
      </x:c>
      <x:c r="F73" s="10" t="n">
        <x:v>49</x:v>
      </x:c>
      <x:c r="G73" s="10" t="n">
        <x:v>119</x:v>
      </x:c>
      <x:c r="H73" s="14" t="n">
        <x:v>11.36</x:v>
      </x:c>
      <x:c r="I73" s="14" t="n">
        <x:f>G73*H73</x:f>
        <x:v>1351.84</x:v>
      </x:c>
      <x:c r="J73" s="16" t="n">
        <x:f>IFERROR(F73/E73,0)</x:f>
        <x:v>0.9423076923076923</x:v>
      </x:c>
      <x:c r="K73" s="10" t="str">
        <x:f>IF(J73&lt;0.90,"Stockout","Healthy")</x:f>
        <x:v>Healthy</x:v>
      </x:c>
    </x:row>
    <x:row r="74">
      <x:c r="A74" s="12" t="n">
        <x:v>46054</x:v>
      </x:c>
      <x:c r="B74" s="10" t="str">
        <x:v>Store 201</x:v>
      </x:c>
      <x:c r="C74" s="10" t="str">
        <x:v>East</x:v>
      </x:c>
      <x:c r="D74" s="10" t="str">
        <x:v>Pain Relief</x:v>
      </x:c>
      <x:c r="E74" s="10" t="n">
        <x:v>42</x:v>
      </x:c>
      <x:c r="F74" s="10" t="n">
        <x:v>40</x:v>
      </x:c>
      <x:c r="G74" s="10" t="n">
        <x:v>140</x:v>
      </x:c>
      <x:c r="H74" s="14" t="n">
        <x:v>12.35</x:v>
      </x:c>
      <x:c r="I74" s="14" t="n">
        <x:f>G74*H74</x:f>
        <x:v>1729</x:v>
      </x:c>
      <x:c r="J74" s="16" t="n">
        <x:f>IFERROR(F74/E74,0)</x:f>
        <x:v>0.9523809523809523</x:v>
      </x:c>
      <x:c r="K74" s="10" t="str">
        <x:f>IF(J74&lt;0.90,"Stockout","Healthy")</x:f>
        <x:v>Healthy</x:v>
      </x:c>
    </x:row>
    <x:row r="75">
      <x:c r="A75" s="12" t="n">
        <x:v>46054</x:v>
      </x:c>
      <x:c r="B75" s="10" t="str">
        <x:v>Store 201</x:v>
      </x:c>
      <x:c r="C75" s="10" t="str">
        <x:v>East</x:v>
      </x:c>
      <x:c r="D75" s="10" t="str">
        <x:v>Cold &amp; Cough</x:v>
      </x:c>
      <x:c r="E75" s="10" t="n">
        <x:v>41</x:v>
      </x:c>
      <x:c r="F75" s="10" t="n">
        <x:v>37</x:v>
      </x:c>
      <x:c r="G75" s="10" t="n">
        <x:v>133</x:v>
      </x:c>
      <x:c r="H75" s="14" t="n">
        <x:v>16.25</x:v>
      </x:c>
      <x:c r="I75" s="14" t="n">
        <x:f>G75*H75</x:f>
        <x:v>2161.25</x:v>
      </x:c>
      <x:c r="J75" s="16" t="n">
        <x:f>IFERROR(F75/E75,0)</x:f>
        <x:v>0.9024390243902439</x:v>
      </x:c>
      <x:c r="K75" s="10" t="str">
        <x:f>IF(J75&lt;0.90,"Stockout","Healthy")</x:f>
        <x:v>Healthy</x:v>
      </x:c>
    </x:row>
    <x:row r="76">
      <x:c r="A76" s="12" t="n">
        <x:v>46054</x:v>
      </x:c>
      <x:c r="B76" s="10" t="str">
        <x:v>Store 201</x:v>
      </x:c>
      <x:c r="C76" s="10" t="str">
        <x:v>East</x:v>
      </x:c>
      <x:c r="D76" s="10" t="str">
        <x:v>Digestive Care</x:v>
      </x:c>
      <x:c r="E76" s="10" t="n">
        <x:v>56</x:v>
      </x:c>
      <x:c r="F76" s="10" t="n">
        <x:v>50</x:v>
      </x:c>
      <x:c r="G76" s="10" t="n">
        <x:v>191</x:v>
      </x:c>
      <x:c r="H76" s="14" t="n">
        <x:v>19.4</x:v>
      </x:c>
      <x:c r="I76" s="14" t="n">
        <x:f>G76*H76</x:f>
        <x:v>3705.3999999999996</x:v>
      </x:c>
      <x:c r="J76" s="16" t="n">
        <x:f>IFERROR(F76/E76,0)</x:f>
        <x:v>0.8928571428571429</x:v>
      </x:c>
      <x:c r="K76" s="10" t="str">
        <x:f>IF(J76&lt;0.90,"Stockout","Healthy")</x:f>
        <x:v>Stockout</x:v>
      </x:c>
    </x:row>
    <x:row r="77">
      <x:c r="A77" s="12" t="n">
        <x:v>46054</x:v>
      </x:c>
      <x:c r="B77" s="10" t="str">
        <x:v>Store 201</x:v>
      </x:c>
      <x:c r="C77" s="10" t="str">
        <x:v>East</x:v>
      </x:c>
      <x:c r="D77" s="10" t="str">
        <x:v>First Aid</x:v>
      </x:c>
      <x:c r="E77" s="10" t="n">
        <x:v>50</x:v>
      </x:c>
      <x:c r="F77" s="10" t="n">
        <x:v>50</x:v>
      </x:c>
      <x:c r="G77" s="10" t="n">
        <x:v>125</x:v>
      </x:c>
      <x:c r="H77" s="14" t="n">
        <x:v>9.18</x:v>
      </x:c>
      <x:c r="I77" s="14" t="n">
        <x:f>G77*H77</x:f>
        <x:v>1147.5</x:v>
      </x:c>
      <x:c r="J77" s="16" t="n">
        <x:f>IFERROR(F77/E77,0)</x:f>
        <x:v>1</x:v>
      </x:c>
      <x:c r="K77" s="10" t="str">
        <x:f>IF(J77&lt;0.90,"Stockout","Healthy")</x:f>
        <x:v>Healthy</x:v>
      </x:c>
    </x:row>
    <x:row r="78">
      <x:c r="A78" s="12" t="n">
        <x:v>46054</x:v>
      </x:c>
      <x:c r="B78" s="10" t="str">
        <x:v>Store 201</x:v>
      </x:c>
      <x:c r="C78" s="10" t="str">
        <x:v>East</x:v>
      </x:c>
      <x:c r="D78" s="10" t="str">
        <x:v>Vitamins</x:v>
      </x:c>
      <x:c r="E78" s="10" t="n">
        <x:v>55</x:v>
      </x:c>
      <x:c r="F78" s="10" t="n">
        <x:v>54</x:v>
      </x:c>
      <x:c r="G78" s="10" t="n">
        <x:v>154</x:v>
      </x:c>
      <x:c r="H78" s="14" t="n">
        <x:v>21.08</x:v>
      </x:c>
      <x:c r="I78" s="14" t="n">
        <x:f>G78*H78</x:f>
        <x:v>3246.3199999999997</x:v>
      </x:c>
      <x:c r="J78" s="16" t="n">
        <x:f>IFERROR(F78/E78,0)</x:f>
        <x:v>0.9818181818181818</x:v>
      </x:c>
      <x:c r="K78" s="10" t="str">
        <x:f>IF(J78&lt;0.90,"Stockout","Healthy")</x:f>
        <x:v>Healthy</x:v>
      </x:c>
    </x:row>
    <x:row r="79">
      <x:c r="A79" s="12" t="n">
        <x:v>46054</x:v>
      </x:c>
      <x:c r="B79" s="10" t="str">
        <x:v>Store 201</x:v>
      </x:c>
      <x:c r="C79" s="10" t="str">
        <x:v>East</x:v>
      </x:c>
      <x:c r="D79" s="10" t="str">
        <x:v>Personal Care</x:v>
      </x:c>
      <x:c r="E79" s="10" t="n">
        <x:v>37</x:v>
      </x:c>
      <x:c r="F79" s="10" t="n">
        <x:v>34</x:v>
      </x:c>
      <x:c r="G79" s="10" t="n">
        <x:v>108</x:v>
      </x:c>
      <x:c r="H79" s="14" t="n">
        <x:v>11.54</x:v>
      </x:c>
      <x:c r="I79" s="14" t="n">
        <x:f>G79*H79</x:f>
        <x:v>1246.32</x:v>
      </x:c>
      <x:c r="J79" s="16" t="n">
        <x:f>IFERROR(F79/E79,0)</x:f>
        <x:v>0.918918918918919</x:v>
      </x:c>
      <x:c r="K79" s="10" t="str">
        <x:f>IF(J79&lt;0.90,"Stockout","Healthy")</x:f>
        <x:v>Healthy</x:v>
      </x:c>
    </x:row>
    <x:row r="80">
      <x:c r="A80" s="12" t="n">
        <x:v>46054</x:v>
      </x:c>
      <x:c r="B80" s="10" t="str">
        <x:v>Store 202</x:v>
      </x:c>
      <x:c r="C80" s="10" t="str">
        <x:v>East</x:v>
      </x:c>
      <x:c r="D80" s="10" t="str">
        <x:v>Pain Relief</x:v>
      </x:c>
      <x:c r="E80" s="10" t="n">
        <x:v>40</x:v>
      </x:c>
      <x:c r="F80" s="10" t="n">
        <x:v>37</x:v>
      </x:c>
      <x:c r="G80" s="10" t="n">
        <x:v>109</x:v>
      </x:c>
      <x:c r="H80" s="14" t="n">
        <x:v>14.03</x:v>
      </x:c>
      <x:c r="I80" s="14" t="n">
        <x:f>G80*H80</x:f>
        <x:v>1529.27</x:v>
      </x:c>
      <x:c r="J80" s="16" t="n">
        <x:f>IFERROR(F80/E80,0)</x:f>
        <x:v>0.925</x:v>
      </x:c>
      <x:c r="K80" s="10" t="str">
        <x:f>IF(J80&lt;0.90,"Stockout","Healthy")</x:f>
        <x:v>Healthy</x:v>
      </x:c>
    </x:row>
    <x:row r="81">
      <x:c r="A81" s="12" t="n">
        <x:v>46054</x:v>
      </x:c>
      <x:c r="B81" s="10" t="str">
        <x:v>Store 202</x:v>
      </x:c>
      <x:c r="C81" s="10" t="str">
        <x:v>East</x:v>
      </x:c>
      <x:c r="D81" s="10" t="str">
        <x:v>Cold &amp; Cough</x:v>
      </x:c>
      <x:c r="E81" s="10" t="n">
        <x:v>42</x:v>
      </x:c>
      <x:c r="F81" s="10" t="n">
        <x:v>37</x:v>
      </x:c>
      <x:c r="G81" s="10" t="n">
        <x:v>125</x:v>
      </x:c>
      <x:c r="H81" s="14" t="n">
        <x:v>16.5</x:v>
      </x:c>
      <x:c r="I81" s="14" t="n">
        <x:f>G81*H81</x:f>
        <x:v>2062.5</x:v>
      </x:c>
      <x:c r="J81" s="16" t="n">
        <x:f>IFERROR(F81/E81,0)</x:f>
        <x:v>0.8809523809523809</x:v>
      </x:c>
      <x:c r="K81" s="10" t="str">
        <x:f>IF(J81&lt;0.90,"Stockout","Healthy")</x:f>
        <x:v>Stockout</x:v>
      </x:c>
    </x:row>
    <x:row r="82">
      <x:c r="A82" s="12" t="n">
        <x:v>46054</x:v>
      </x:c>
      <x:c r="B82" s="10" t="str">
        <x:v>Store 202</x:v>
      </x:c>
      <x:c r="C82" s="10" t="str">
        <x:v>East</x:v>
      </x:c>
      <x:c r="D82" s="10" t="str">
        <x:v>Digestive Care</x:v>
      </x:c>
      <x:c r="E82" s="10" t="n">
        <x:v>35</x:v>
      </x:c>
      <x:c r="F82" s="10" t="n">
        <x:v>34</x:v>
      </x:c>
      <x:c r="G82" s="10" t="n">
        <x:v>140</x:v>
      </x:c>
      <x:c r="H82" s="14" t="n">
        <x:v>17.3</x:v>
      </x:c>
      <x:c r="I82" s="14" t="n">
        <x:f>G82*H82</x:f>
        <x:v>2422</x:v>
      </x:c>
      <x:c r="J82" s="16" t="n">
        <x:f>IFERROR(F82/E82,0)</x:f>
        <x:v>0.9714285714285714</x:v>
      </x:c>
      <x:c r="K82" s="10" t="str">
        <x:f>IF(J82&lt;0.90,"Stockout","Healthy")</x:f>
        <x:v>Healthy</x:v>
      </x:c>
    </x:row>
    <x:row r="83">
      <x:c r="A83" s="12" t="n">
        <x:v>46054</x:v>
      </x:c>
      <x:c r="B83" s="10" t="str">
        <x:v>Store 202</x:v>
      </x:c>
      <x:c r="C83" s="10" t="str">
        <x:v>East</x:v>
      </x:c>
      <x:c r="D83" s="10" t="str">
        <x:v>First Aid</x:v>
      </x:c>
      <x:c r="E83" s="10" t="n">
        <x:v>34</x:v>
      </x:c>
      <x:c r="F83" s="10" t="n">
        <x:v>31</x:v>
      </x:c>
      <x:c r="G83" s="10" t="n">
        <x:v>137</x:v>
      </x:c>
      <x:c r="H83" s="14" t="n">
        <x:v>10.6</x:v>
      </x:c>
      <x:c r="I83" s="14" t="n">
        <x:f>G83*H83</x:f>
        <x:v>1452.2</x:v>
      </x:c>
      <x:c r="J83" s="16" t="n">
        <x:f>IFERROR(F83/E83,0)</x:f>
        <x:v>0.9117647058823529</x:v>
      </x:c>
      <x:c r="K83" s="10" t="str">
        <x:f>IF(J83&lt;0.90,"Stockout","Healthy")</x:f>
        <x:v>Healthy</x:v>
      </x:c>
    </x:row>
    <x:row r="84">
      <x:c r="A84" s="12" t="n">
        <x:v>46054</x:v>
      </x:c>
      <x:c r="B84" s="10" t="str">
        <x:v>Store 202</x:v>
      </x:c>
      <x:c r="C84" s="10" t="str">
        <x:v>East</x:v>
      </x:c>
      <x:c r="D84" s="10" t="str">
        <x:v>Vitamins</x:v>
      </x:c>
      <x:c r="E84" s="10" t="n">
        <x:v>39</x:v>
      </x:c>
      <x:c r="F84" s="10" t="n">
        <x:v>36</x:v>
      </x:c>
      <x:c r="G84" s="10" t="n">
        <x:v>94</x:v>
      </x:c>
      <x:c r="H84" s="14" t="n">
        <x:v>21.87</x:v>
      </x:c>
      <x:c r="I84" s="14" t="n">
        <x:f>G84*H84</x:f>
        <x:v>2055.78</x:v>
      </x:c>
      <x:c r="J84" s="16" t="n">
        <x:f>IFERROR(F84/E84,0)</x:f>
        <x:v>0.9230769230769231</x:v>
      </x:c>
      <x:c r="K84" s="10" t="str">
        <x:f>IF(J84&lt;0.90,"Stockout","Healthy")</x:f>
        <x:v>Healthy</x:v>
      </x:c>
    </x:row>
    <x:row r="85">
      <x:c r="A85" s="12" t="n">
        <x:v>46054</x:v>
      </x:c>
      <x:c r="B85" s="10" t="str">
        <x:v>Store 202</x:v>
      </x:c>
      <x:c r="C85" s="10" t="str">
        <x:v>East</x:v>
      </x:c>
      <x:c r="D85" s="10" t="str">
        <x:v>Personal Care</x:v>
      </x:c>
      <x:c r="E85" s="10" t="n">
        <x:v>34</x:v>
      </x:c>
      <x:c r="F85" s="10" t="n">
        <x:v>34</x:v>
      </x:c>
      <x:c r="G85" s="10" t="n">
        <x:v>165</x:v>
      </x:c>
      <x:c r="H85" s="14" t="n">
        <x:v>12.62</x:v>
      </x:c>
      <x:c r="I85" s="14" t="n">
        <x:f>G85*H85</x:f>
        <x:v>2082.2999999999997</x:v>
      </x:c>
      <x:c r="J85" s="16" t="n">
        <x:f>IFERROR(F85/E85,0)</x:f>
        <x:v>1</x:v>
      </x:c>
      <x:c r="K85" s="10" t="str">
        <x:f>IF(J85&lt;0.90,"Stockout","Healthy")</x:f>
        <x:v>Healthy</x:v>
      </x:c>
    </x:row>
    <x:row r="86">
      <x:c r="A86" s="12" t="n">
        <x:v>46054</x:v>
      </x:c>
      <x:c r="B86" s="10" t="str">
        <x:v>Store 301</x:v>
      </x:c>
      <x:c r="C86" s="10" t="str">
        <x:v>West</x:v>
      </x:c>
      <x:c r="D86" s="10" t="str">
        <x:v>Pain Relief</x:v>
      </x:c>
      <x:c r="E86" s="10" t="n">
        <x:v>38</x:v>
      </x:c>
      <x:c r="F86" s="10" t="n">
        <x:v>32</x:v>
      </x:c>
      <x:c r="G86" s="10" t="n">
        <x:v>94</x:v>
      </x:c>
      <x:c r="H86" s="14" t="n">
        <x:v>13.88</x:v>
      </x:c>
      <x:c r="I86" s="14" t="n">
        <x:f>G86*H86</x:f>
        <x:v>1304.72</x:v>
      </x:c>
      <x:c r="J86" s="16" t="n">
        <x:f>IFERROR(F86/E86,0)</x:f>
        <x:v>0.8421052631578947</x:v>
      </x:c>
      <x:c r="K86" s="10" t="str">
        <x:f>IF(J86&lt;0.90,"Stockout","Healthy")</x:f>
        <x:v>Stockout</x:v>
      </x:c>
    </x:row>
    <x:row r="87">
      <x:c r="A87" s="12" t="n">
        <x:v>46054</x:v>
      </x:c>
      <x:c r="B87" s="10" t="str">
        <x:v>Store 301</x:v>
      </x:c>
      <x:c r="C87" s="10" t="str">
        <x:v>West</x:v>
      </x:c>
      <x:c r="D87" s="10" t="str">
        <x:v>Cold &amp; Cough</x:v>
      </x:c>
      <x:c r="E87" s="10" t="n">
        <x:v>38</x:v>
      </x:c>
      <x:c r="F87" s="10" t="n">
        <x:v>35</x:v>
      </x:c>
      <x:c r="G87" s="10" t="n">
        <x:v>111</x:v>
      </x:c>
      <x:c r="H87" s="14" t="n">
        <x:v>14.7</x:v>
      </x:c>
      <x:c r="I87" s="14" t="n">
        <x:f>G87*H87</x:f>
        <x:v>1631.6999999999998</x:v>
      </x:c>
      <x:c r="J87" s="16" t="n">
        <x:f>IFERROR(F87/E87,0)</x:f>
        <x:v>0.9210526315789473</x:v>
      </x:c>
      <x:c r="K87" s="10" t="str">
        <x:f>IF(J87&lt;0.90,"Stockout","Healthy")</x:f>
        <x:v>Healthy</x:v>
      </x:c>
    </x:row>
    <x:row r="88">
      <x:c r="A88" s="12" t="n">
        <x:v>46054</x:v>
      </x:c>
      <x:c r="B88" s="10" t="str">
        <x:v>Store 301</x:v>
      </x:c>
      <x:c r="C88" s="10" t="str">
        <x:v>West</x:v>
      </x:c>
      <x:c r="D88" s="10" t="str">
        <x:v>Digestive Care</x:v>
      </x:c>
      <x:c r="E88" s="10" t="n">
        <x:v>59</x:v>
      </x:c>
      <x:c r="F88" s="10" t="n">
        <x:v>55</x:v>
      </x:c>
      <x:c r="G88" s="10" t="n">
        <x:v>106</x:v>
      </x:c>
      <x:c r="H88" s="14" t="n">
        <x:v>17.62</x:v>
      </x:c>
      <x:c r="I88" s="14" t="n">
        <x:f>G88*H88</x:f>
        <x:v>1867.72</x:v>
      </x:c>
      <x:c r="J88" s="16" t="n">
        <x:f>IFERROR(F88/E88,0)</x:f>
        <x:v>0.9322033898305084</x:v>
      </x:c>
      <x:c r="K88" s="10" t="str">
        <x:f>IF(J88&lt;0.90,"Stockout","Healthy")</x:f>
        <x:v>Healthy</x:v>
      </x:c>
    </x:row>
    <x:row r="89">
      <x:c r="A89" s="12" t="n">
        <x:v>46054</x:v>
      </x:c>
      <x:c r="B89" s="10" t="str">
        <x:v>Store 301</x:v>
      </x:c>
      <x:c r="C89" s="10" t="str">
        <x:v>West</x:v>
      </x:c>
      <x:c r="D89" s="10" t="str">
        <x:v>First Aid</x:v>
      </x:c>
      <x:c r="E89" s="10" t="n">
        <x:v>55</x:v>
      </x:c>
      <x:c r="F89" s="10" t="n">
        <x:v>51</x:v>
      </x:c>
      <x:c r="G89" s="10" t="n">
        <x:v>119</x:v>
      </x:c>
      <x:c r="H89" s="14" t="n">
        <x:v>10.18</x:v>
      </x:c>
      <x:c r="I89" s="14" t="n">
        <x:f>G89*H89</x:f>
        <x:v>1211.42</x:v>
      </x:c>
      <x:c r="J89" s="16" t="n">
        <x:f>IFERROR(F89/E89,0)</x:f>
        <x:v>0.9272727272727272</x:v>
      </x:c>
      <x:c r="K89" s="10" t="str">
        <x:f>IF(J89&lt;0.90,"Stockout","Healthy")</x:f>
        <x:v>Healthy</x:v>
      </x:c>
    </x:row>
    <x:row r="90">
      <x:c r="A90" s="12" t="n">
        <x:v>46054</x:v>
      </x:c>
      <x:c r="B90" s="10" t="str">
        <x:v>Store 301</x:v>
      </x:c>
      <x:c r="C90" s="10" t="str">
        <x:v>West</x:v>
      </x:c>
      <x:c r="D90" s="10" t="str">
        <x:v>Vitamins</x:v>
      </x:c>
      <x:c r="E90" s="10" t="n">
        <x:v>47</x:v>
      </x:c>
      <x:c r="F90" s="10" t="n">
        <x:v>47</x:v>
      </x:c>
      <x:c r="G90" s="10" t="n">
        <x:v>101</x:v>
      </x:c>
      <x:c r="H90" s="14" t="n">
        <x:v>24.28</x:v>
      </x:c>
      <x:c r="I90" s="14" t="n">
        <x:f>G90*H90</x:f>
        <x:v>2452.28</x:v>
      </x:c>
      <x:c r="J90" s="16" t="n">
        <x:f>IFERROR(F90/E90,0)</x:f>
        <x:v>1</x:v>
      </x:c>
      <x:c r="K90" s="10" t="str">
        <x:f>IF(J90&lt;0.90,"Stockout","Healthy")</x:f>
        <x:v>Healthy</x:v>
      </x:c>
    </x:row>
    <x:row r="91">
      <x:c r="A91" s="12" t="n">
        <x:v>46054</x:v>
      </x:c>
      <x:c r="B91" s="10" t="str">
        <x:v>Store 301</x:v>
      </x:c>
      <x:c r="C91" s="10" t="str">
        <x:v>West</x:v>
      </x:c>
      <x:c r="D91" s="10" t="str">
        <x:v>Personal Care</x:v>
      </x:c>
      <x:c r="E91" s="10" t="n">
        <x:v>41</x:v>
      </x:c>
      <x:c r="F91" s="10" t="n">
        <x:v>41</x:v>
      </x:c>
      <x:c r="G91" s="10" t="n">
        <x:v>56</x:v>
      </x:c>
      <x:c r="H91" s="14" t="n">
        <x:v>12.94</x:v>
      </x:c>
      <x:c r="I91" s="14" t="n">
        <x:f>G91*H91</x:f>
        <x:v>724.64</x:v>
      </x:c>
      <x:c r="J91" s="16" t="n">
        <x:f>IFERROR(F91/E91,0)</x:f>
        <x:v>1</x:v>
      </x:c>
      <x:c r="K91" s="10" t="str">
        <x:f>IF(J91&lt;0.90,"Stockout","Healthy")</x:f>
        <x:v>Healthy</x:v>
      </x:c>
    </x:row>
    <x:row r="92">
      <x:c r="A92" s="12" t="n">
        <x:v>46054</x:v>
      </x:c>
      <x:c r="B92" s="10" t="str">
        <x:v>Store 302</x:v>
      </x:c>
      <x:c r="C92" s="10" t="str">
        <x:v>West</x:v>
      </x:c>
      <x:c r="D92" s="10" t="str">
        <x:v>Pain Relief</x:v>
      </x:c>
      <x:c r="E92" s="10" t="n">
        <x:v>47</x:v>
      </x:c>
      <x:c r="F92" s="10" t="n">
        <x:v>47</x:v>
      </x:c>
      <x:c r="G92" s="10" t="n">
        <x:v>117</x:v>
      </x:c>
      <x:c r="H92" s="14" t="n">
        <x:v>13.14</x:v>
      </x:c>
      <x:c r="I92" s="14" t="n">
        <x:f>G92*H92</x:f>
        <x:v>1537.38</x:v>
      </x:c>
      <x:c r="J92" s="16" t="n">
        <x:f>IFERROR(F92/E92,0)</x:f>
        <x:v>1</x:v>
      </x:c>
      <x:c r="K92" s="10" t="str">
        <x:f>IF(J92&lt;0.90,"Stockout","Healthy")</x:f>
        <x:v>Healthy</x:v>
      </x:c>
    </x:row>
    <x:row r="93">
      <x:c r="A93" s="12" t="n">
        <x:v>46054</x:v>
      </x:c>
      <x:c r="B93" s="10" t="str">
        <x:v>Store 302</x:v>
      </x:c>
      <x:c r="C93" s="10" t="str">
        <x:v>West</x:v>
      </x:c>
      <x:c r="D93" s="10" t="str">
        <x:v>Cold &amp; Cough</x:v>
      </x:c>
      <x:c r="E93" s="10" t="n">
        <x:v>47</x:v>
      </x:c>
      <x:c r="F93" s="10" t="n">
        <x:v>45</x:v>
      </x:c>
      <x:c r="G93" s="10" t="n">
        <x:v>63</x:v>
      </x:c>
      <x:c r="H93" s="14" t="n">
        <x:v>16.18</x:v>
      </x:c>
      <x:c r="I93" s="14" t="n">
        <x:f>G93*H93</x:f>
        <x:v>1019.34</x:v>
      </x:c>
      <x:c r="J93" s="16" t="n">
        <x:f>IFERROR(F93/E93,0)</x:f>
        <x:v>0.9574468085106383</x:v>
      </x:c>
      <x:c r="K93" s="10" t="str">
        <x:f>IF(J93&lt;0.90,"Stockout","Healthy")</x:f>
        <x:v>Healthy</x:v>
      </x:c>
    </x:row>
    <x:row r="94">
      <x:c r="A94" s="12" t="n">
        <x:v>46054</x:v>
      </x:c>
      <x:c r="B94" s="10" t="str">
        <x:v>Store 302</x:v>
      </x:c>
      <x:c r="C94" s="10" t="str">
        <x:v>West</x:v>
      </x:c>
      <x:c r="D94" s="10" t="str">
        <x:v>Digestive Care</x:v>
      </x:c>
      <x:c r="E94" s="10" t="n">
        <x:v>42</x:v>
      </x:c>
      <x:c r="F94" s="10" t="n">
        <x:v>40</x:v>
      </x:c>
      <x:c r="G94" s="10" t="n">
        <x:v>143</x:v>
      </x:c>
      <x:c r="H94" s="14" t="n">
        <x:v>17.71</x:v>
      </x:c>
      <x:c r="I94" s="14" t="n">
        <x:f>G94*H94</x:f>
        <x:v>2532.53</x:v>
      </x:c>
      <x:c r="J94" s="16" t="n">
        <x:f>IFERROR(F94/E94,0)</x:f>
        <x:v>0.9523809523809523</x:v>
      </x:c>
      <x:c r="K94" s="10" t="str">
        <x:f>IF(J94&lt;0.90,"Stockout","Healthy")</x:f>
        <x:v>Healthy</x:v>
      </x:c>
    </x:row>
    <x:row r="95">
      <x:c r="A95" s="12" t="n">
        <x:v>46054</x:v>
      </x:c>
      <x:c r="B95" s="10" t="str">
        <x:v>Store 302</x:v>
      </x:c>
      <x:c r="C95" s="10" t="str">
        <x:v>West</x:v>
      </x:c>
      <x:c r="D95" s="10" t="str">
        <x:v>First Aid</x:v>
      </x:c>
      <x:c r="E95" s="10" t="n">
        <x:v>35</x:v>
      </x:c>
      <x:c r="F95" s="10" t="n">
        <x:v>33</x:v>
      </x:c>
      <x:c r="G95" s="10" t="n">
        <x:v>97</x:v>
      </x:c>
      <x:c r="H95" s="14" t="n">
        <x:v>10.26</x:v>
      </x:c>
      <x:c r="I95" s="14" t="n">
        <x:f>G95*H95</x:f>
        <x:v>995.22</x:v>
      </x:c>
      <x:c r="J95" s="16" t="n">
        <x:f>IFERROR(F95/E95,0)</x:f>
        <x:v>0.9428571428571428</x:v>
      </x:c>
      <x:c r="K95" s="10" t="str">
        <x:f>IF(J95&lt;0.90,"Stockout","Healthy")</x:f>
        <x:v>Healthy</x:v>
      </x:c>
    </x:row>
    <x:row r="96">
      <x:c r="A96" s="12" t="n">
        <x:v>46054</x:v>
      </x:c>
      <x:c r="B96" s="10" t="str">
        <x:v>Store 302</x:v>
      </x:c>
      <x:c r="C96" s="10" t="str">
        <x:v>West</x:v>
      </x:c>
      <x:c r="D96" s="10" t="str">
        <x:v>Vitamins</x:v>
      </x:c>
      <x:c r="E96" s="10" t="n">
        <x:v>48</x:v>
      </x:c>
      <x:c r="F96" s="10" t="n">
        <x:v>42</x:v>
      </x:c>
      <x:c r="G96" s="10" t="n">
        <x:v>148</x:v>
      </x:c>
      <x:c r="H96" s="14" t="n">
        <x:v>24.02</x:v>
      </x:c>
      <x:c r="I96" s="14" t="n">
        <x:f>G96*H96</x:f>
        <x:v>3554.96</x:v>
      </x:c>
      <x:c r="J96" s="16" t="n">
        <x:f>IFERROR(F96/E96,0)</x:f>
        <x:v>0.875</x:v>
      </x:c>
      <x:c r="K96" s="10" t="str">
        <x:f>IF(J96&lt;0.90,"Stockout","Healthy")</x:f>
        <x:v>Stockout</x:v>
      </x:c>
    </x:row>
    <x:row r="97">
      <x:c r="A97" s="12" t="n">
        <x:v>46054</x:v>
      </x:c>
      <x:c r="B97" s="10" t="str">
        <x:v>Store 302</x:v>
      </x:c>
      <x:c r="C97" s="10" t="str">
        <x:v>West</x:v>
      </x:c>
      <x:c r="D97" s="10" t="str">
        <x:v>Personal Care</x:v>
      </x:c>
      <x:c r="E97" s="10" t="n">
        <x:v>41</x:v>
      </x:c>
      <x:c r="F97" s="10" t="n">
        <x:v>39</x:v>
      </x:c>
      <x:c r="G97" s="10" t="n">
        <x:v>113</x:v>
      </x:c>
      <x:c r="H97" s="14" t="n">
        <x:v>11.67</x:v>
      </x:c>
      <x:c r="I97" s="14" t="n">
        <x:f>G97*H97</x:f>
        <x:v>1318.71</x:v>
      </x:c>
      <x:c r="J97" s="16" t="n">
        <x:f>IFERROR(F97/E97,0)</x:f>
        <x:v>0.9512195121951219</x:v>
      </x:c>
      <x:c r="K97" s="10" t="str">
        <x:f>IF(J97&lt;0.90,"Stockout","Healthy")</x:f>
        <x:v>Healthy</x:v>
      </x:c>
    </x:row>
    <x:row r="98">
      <x:c r="A98" s="12" t="n">
        <x:v>46054</x:v>
      </x:c>
      <x:c r="B98" s="10" t="str">
        <x:v>Store 401</x:v>
      </x:c>
      <x:c r="C98" s="10" t="str">
        <x:v>North</x:v>
      </x:c>
      <x:c r="D98" s="10" t="str">
        <x:v>Pain Relief</x:v>
      </x:c>
      <x:c r="E98" s="10" t="n">
        <x:v>36</x:v>
      </x:c>
      <x:c r="F98" s="10" t="n">
        <x:v>35</x:v>
      </x:c>
      <x:c r="G98" s="10" t="n">
        <x:v>109</x:v>
      </x:c>
      <x:c r="H98" s="14" t="n">
        <x:v>14.06</x:v>
      </x:c>
      <x:c r="I98" s="14" t="n">
        <x:f>G98*H98</x:f>
        <x:v>1532.54</x:v>
      </x:c>
      <x:c r="J98" s="16" t="n">
        <x:f>IFERROR(F98/E98,0)</x:f>
        <x:v>0.9722222222222222</x:v>
      </x:c>
      <x:c r="K98" s="10" t="str">
        <x:f>IF(J98&lt;0.90,"Stockout","Healthy")</x:f>
        <x:v>Healthy</x:v>
      </x:c>
    </x:row>
    <x:row r="99">
      <x:c r="A99" s="12" t="n">
        <x:v>46054</x:v>
      </x:c>
      <x:c r="B99" s="10" t="str">
        <x:v>Store 401</x:v>
      </x:c>
      <x:c r="C99" s="10" t="str">
        <x:v>North</x:v>
      </x:c>
      <x:c r="D99" s="10" t="str">
        <x:v>Cold &amp; Cough</x:v>
      </x:c>
      <x:c r="E99" s="10" t="n">
        <x:v>46</x:v>
      </x:c>
      <x:c r="F99" s="10" t="n">
        <x:v>41</x:v>
      </x:c>
      <x:c r="G99" s="10" t="n">
        <x:v>70</x:v>
      </x:c>
      <x:c r="H99" s="14" t="n">
        <x:v>14.59</x:v>
      </x:c>
      <x:c r="I99" s="14" t="n">
        <x:f>G99*H99</x:f>
        <x:v>1021.3</x:v>
      </x:c>
      <x:c r="J99" s="16" t="n">
        <x:f>IFERROR(F99/E99,0)</x:f>
        <x:v>0.8913043478260869</x:v>
      </x:c>
      <x:c r="K99" s="10" t="str">
        <x:f>IF(J99&lt;0.90,"Stockout","Healthy")</x:f>
        <x:v>Stockout</x:v>
      </x:c>
    </x:row>
    <x:row r="100">
      <x:c r="A100" s="12" t="n">
        <x:v>46054</x:v>
      </x:c>
      <x:c r="B100" s="10" t="str">
        <x:v>Store 401</x:v>
      </x:c>
      <x:c r="C100" s="10" t="str">
        <x:v>North</x:v>
      </x:c>
      <x:c r="D100" s="10" t="str">
        <x:v>Digestive Care</x:v>
      </x:c>
      <x:c r="E100" s="10" t="n">
        <x:v>34</x:v>
      </x:c>
      <x:c r="F100" s="10" t="n">
        <x:v>34</x:v>
      </x:c>
      <x:c r="G100" s="10" t="n">
        <x:v>158</x:v>
      </x:c>
      <x:c r="H100" s="14" t="n">
        <x:v>16.91</x:v>
      </x:c>
      <x:c r="I100" s="14" t="n">
        <x:f>G100*H100</x:f>
        <x:v>2671.78</x:v>
      </x:c>
      <x:c r="J100" s="16" t="n">
        <x:f>IFERROR(F100/E100,0)</x:f>
        <x:v>1</x:v>
      </x:c>
      <x:c r="K100" s="10" t="str">
        <x:f>IF(J100&lt;0.90,"Stockout","Healthy")</x:f>
        <x:v>Healthy</x:v>
      </x:c>
    </x:row>
    <x:row r="101">
      <x:c r="A101" s="12" t="n">
        <x:v>46054</x:v>
      </x:c>
      <x:c r="B101" s="10" t="str">
        <x:v>Store 401</x:v>
      </x:c>
      <x:c r="C101" s="10" t="str">
        <x:v>North</x:v>
      </x:c>
      <x:c r="D101" s="10" t="str">
        <x:v>First Aid</x:v>
      </x:c>
      <x:c r="E101" s="10" t="n">
        <x:v>42</x:v>
      </x:c>
      <x:c r="F101" s="10" t="n">
        <x:v>41</x:v>
      </x:c>
      <x:c r="G101" s="10" t="n">
        <x:v>122</x:v>
      </x:c>
      <x:c r="H101" s="14" t="n">
        <x:v>9.27</x:v>
      </x:c>
      <x:c r="I101" s="14" t="n">
        <x:f>G101*H101</x:f>
        <x:v>1130.94</x:v>
      </x:c>
      <x:c r="J101" s="16" t="n">
        <x:f>IFERROR(F101/E101,0)</x:f>
        <x:v>0.9761904761904762</x:v>
      </x:c>
      <x:c r="K101" s="10" t="str">
        <x:f>IF(J101&lt;0.90,"Stockout","Healthy")</x:f>
        <x:v>Healthy</x:v>
      </x:c>
    </x:row>
    <x:row r="102">
      <x:c r="A102" s="12" t="n">
        <x:v>46054</x:v>
      </x:c>
      <x:c r="B102" s="10" t="str">
        <x:v>Store 401</x:v>
      </x:c>
      <x:c r="C102" s="10" t="str">
        <x:v>North</x:v>
      </x:c>
      <x:c r="D102" s="10" t="str">
        <x:v>Vitamins</x:v>
      </x:c>
      <x:c r="E102" s="10" t="n">
        <x:v>59</x:v>
      </x:c>
      <x:c r="F102" s="10" t="n">
        <x:v>53</x:v>
      </x:c>
      <x:c r="G102" s="10" t="n">
        <x:v>145</x:v>
      </x:c>
      <x:c r="H102" s="14" t="n">
        <x:v>22.28</x:v>
      </x:c>
      <x:c r="I102" s="14" t="n">
        <x:f>G102*H102</x:f>
        <x:v>3230.6000000000004</x:v>
      </x:c>
      <x:c r="J102" s="16" t="n">
        <x:f>IFERROR(F102/E102,0)</x:f>
        <x:v>0.8983050847457628</x:v>
      </x:c>
      <x:c r="K102" s="10" t="str">
        <x:f>IF(J102&lt;0.90,"Stockout","Healthy")</x:f>
        <x:v>Stockout</x:v>
      </x:c>
    </x:row>
    <x:row r="103">
      <x:c r="A103" s="12" t="n">
        <x:v>46054</x:v>
      </x:c>
      <x:c r="B103" s="10" t="str">
        <x:v>Store 401</x:v>
      </x:c>
      <x:c r="C103" s="10" t="str">
        <x:v>North</x:v>
      </x:c>
      <x:c r="D103" s="10" t="str">
        <x:v>Personal Care</x:v>
      </x:c>
      <x:c r="E103" s="10" t="n">
        <x:v>46</x:v>
      </x:c>
      <x:c r="F103" s="10" t="n">
        <x:v>44</x:v>
      </x:c>
      <x:c r="G103" s="10" t="n">
        <x:v>104</x:v>
      </x:c>
      <x:c r="H103" s="14" t="n">
        <x:v>10.92</x:v>
      </x:c>
      <x:c r="I103" s="14" t="n">
        <x:f>G103*H103</x:f>
        <x:v>1135.68</x:v>
      </x:c>
      <x:c r="J103" s="16" t="n">
        <x:f>IFERROR(F103/E103,0)</x:f>
        <x:v>0.9565217391304348</x:v>
      </x:c>
      <x:c r="K103" s="10" t="str">
        <x:f>IF(J103&lt;0.90,"Stockout","Healthy")</x:f>
        <x:v>Healthy</x:v>
      </x:c>
    </x:row>
    <x:row r="104">
      <x:c r="A104" s="12" t="n">
        <x:v>46054</x:v>
      </x:c>
      <x:c r="B104" s="10" t="str">
        <x:v>Store 402</x:v>
      </x:c>
      <x:c r="C104" s="10" t="str">
        <x:v>North</x:v>
      </x:c>
      <x:c r="D104" s="10" t="str">
        <x:v>Pain Relief</x:v>
      </x:c>
      <x:c r="E104" s="10" t="n">
        <x:v>47</x:v>
      </x:c>
      <x:c r="F104" s="10" t="n">
        <x:v>47</x:v>
      </x:c>
      <x:c r="G104" s="10" t="n">
        <x:v>117</x:v>
      </x:c>
      <x:c r="H104" s="14" t="n">
        <x:v>13.75</x:v>
      </x:c>
      <x:c r="I104" s="14" t="n">
        <x:f>G104*H104</x:f>
        <x:v>1608.75</x:v>
      </x:c>
      <x:c r="J104" s="16" t="n">
        <x:f>IFERROR(F104/E104,0)</x:f>
        <x:v>1</x:v>
      </x:c>
      <x:c r="K104" s="10" t="str">
        <x:f>IF(J104&lt;0.90,"Stockout","Healthy")</x:f>
        <x:v>Healthy</x:v>
      </x:c>
    </x:row>
    <x:row r="105">
      <x:c r="A105" s="12" t="n">
        <x:v>46054</x:v>
      </x:c>
      <x:c r="B105" s="10" t="str">
        <x:v>Store 402</x:v>
      </x:c>
      <x:c r="C105" s="10" t="str">
        <x:v>North</x:v>
      </x:c>
      <x:c r="D105" s="10" t="str">
        <x:v>Cold &amp; Cough</x:v>
      </x:c>
      <x:c r="E105" s="10" t="n">
        <x:v>57</x:v>
      </x:c>
      <x:c r="F105" s="10" t="n">
        <x:v>56</x:v>
      </x:c>
      <x:c r="G105" s="10" t="n">
        <x:v>102</x:v>
      </x:c>
      <x:c r="H105" s="14" t="n">
        <x:v>14.15</x:v>
      </x:c>
      <x:c r="I105" s="14" t="n">
        <x:f>G105*H105</x:f>
        <x:v>1443.3</x:v>
      </x:c>
      <x:c r="J105" s="16" t="n">
        <x:f>IFERROR(F105/E105,0)</x:f>
        <x:v>0.9824561403508771</x:v>
      </x:c>
      <x:c r="K105" s="10" t="str">
        <x:f>IF(J105&lt;0.90,"Stockout","Healthy")</x:f>
        <x:v>Healthy</x:v>
      </x:c>
    </x:row>
    <x:row r="106">
      <x:c r="A106" s="12" t="n">
        <x:v>46054</x:v>
      </x:c>
      <x:c r="B106" s="10" t="str">
        <x:v>Store 402</x:v>
      </x:c>
      <x:c r="C106" s="10" t="str">
        <x:v>North</x:v>
      </x:c>
      <x:c r="D106" s="10" t="str">
        <x:v>Digestive Care</x:v>
      </x:c>
      <x:c r="E106" s="10" t="n">
        <x:v>47</x:v>
      </x:c>
      <x:c r="F106" s="10" t="n">
        <x:v>46</x:v>
      </x:c>
      <x:c r="G106" s="10" t="n">
        <x:v>132</x:v>
      </x:c>
      <x:c r="H106" s="14" t="n">
        <x:v>17.51</x:v>
      </x:c>
      <x:c r="I106" s="14" t="n">
        <x:f>G106*H106</x:f>
        <x:v>2311.32</x:v>
      </x:c>
      <x:c r="J106" s="16" t="n">
        <x:f>IFERROR(F106/E106,0)</x:f>
        <x:v>0.9787234042553191</x:v>
      </x:c>
      <x:c r="K106" s="10" t="str">
        <x:f>IF(J106&lt;0.90,"Stockout","Healthy")</x:f>
        <x:v>Healthy</x:v>
      </x:c>
    </x:row>
    <x:row r="107">
      <x:c r="A107" s="12" t="n">
        <x:v>46054</x:v>
      </x:c>
      <x:c r="B107" s="10" t="str">
        <x:v>Store 402</x:v>
      </x:c>
      <x:c r="C107" s="10" t="str">
        <x:v>North</x:v>
      </x:c>
      <x:c r="D107" s="10" t="str">
        <x:v>First Aid</x:v>
      </x:c>
      <x:c r="E107" s="10" t="n">
        <x:v>44</x:v>
      </x:c>
      <x:c r="F107" s="10" t="n">
        <x:v>40</x:v>
      </x:c>
      <x:c r="G107" s="10" t="n">
        <x:v>106</x:v>
      </x:c>
      <x:c r="H107" s="14" t="n">
        <x:v>10.43</x:v>
      </x:c>
      <x:c r="I107" s="14" t="n">
        <x:f>G107*H107</x:f>
        <x:v>1105.58</x:v>
      </x:c>
      <x:c r="J107" s="16" t="n">
        <x:f>IFERROR(F107/E107,0)</x:f>
        <x:v>0.9090909090909091</x:v>
      </x:c>
      <x:c r="K107" s="10" t="str">
        <x:f>IF(J107&lt;0.90,"Stockout","Healthy")</x:f>
        <x:v>Healthy</x:v>
      </x:c>
    </x:row>
    <x:row r="108">
      <x:c r="A108" s="12" t="n">
        <x:v>46054</x:v>
      </x:c>
      <x:c r="B108" s="10" t="str">
        <x:v>Store 402</x:v>
      </x:c>
      <x:c r="C108" s="10" t="str">
        <x:v>North</x:v>
      </x:c>
      <x:c r="D108" s="10" t="str">
        <x:v>Vitamins</x:v>
      </x:c>
      <x:c r="E108" s="10" t="n">
        <x:v>50</x:v>
      </x:c>
      <x:c r="F108" s="10" t="n">
        <x:v>45</x:v>
      </x:c>
      <x:c r="G108" s="10" t="n">
        <x:v>140</x:v>
      </x:c>
      <x:c r="H108" s="14" t="n">
        <x:v>21.75</x:v>
      </x:c>
      <x:c r="I108" s="14" t="n">
        <x:f>G108*H108</x:f>
        <x:v>3045</x:v>
      </x:c>
      <x:c r="J108" s="16" t="n">
        <x:f>IFERROR(F108/E108,0)</x:f>
        <x:v>0.9</x:v>
      </x:c>
      <x:c r="K108" s="10" t="str">
        <x:f>IF(J108&lt;0.90,"Stockout","Healthy")</x:f>
        <x:v>Healthy</x:v>
      </x:c>
    </x:row>
    <x:row r="109">
      <x:c r="A109" s="12" t="n">
        <x:v>46054</x:v>
      </x:c>
      <x:c r="B109" s="10" t="str">
        <x:v>Store 402</x:v>
      </x:c>
      <x:c r="C109" s="10" t="str">
        <x:v>North</x:v>
      </x:c>
      <x:c r="D109" s="10" t="str">
        <x:v>Personal Care</x:v>
      </x:c>
      <x:c r="E109" s="10" t="n">
        <x:v>43</x:v>
      </x:c>
      <x:c r="F109" s="10" t="n">
        <x:v>39</x:v>
      </x:c>
      <x:c r="G109" s="10" t="n">
        <x:v>111</x:v>
      </x:c>
      <x:c r="H109" s="14" t="n">
        <x:v>12.56</x:v>
      </x:c>
      <x:c r="I109" s="14" t="n">
        <x:f>G109*H109</x:f>
        <x:v>1394.16</x:v>
      </x:c>
      <x:c r="J109" s="16" t="n">
        <x:f>IFERROR(F109/E109,0)</x:f>
        <x:v>0.9069767441860465</x:v>
      </x:c>
      <x:c r="K109" s="10" t="str">
        <x:f>IF(J109&lt;0.90,"Stockout","Healthy")</x:f>
        <x:v>Healthy</x:v>
      </x:c>
    </x:row>
    <x:row r="110">
      <x:c r="A110" s="12" t="n">
        <x:v>46054</x:v>
      </x:c>
      <x:c r="B110" s="10" t="str">
        <x:v>Store 501</x:v>
      </x:c>
      <x:c r="C110" s="10" t="str">
        <x:v>South</x:v>
      </x:c>
      <x:c r="D110" s="10" t="str">
        <x:v>Pain Relief</x:v>
      </x:c>
      <x:c r="E110" s="10" t="n">
        <x:v>46</x:v>
      </x:c>
      <x:c r="F110" s="10" t="n">
        <x:v>41</x:v>
      </x:c>
      <x:c r="G110" s="10" t="n">
        <x:v>71</x:v>
      </x:c>
      <x:c r="H110" s="14" t="n">
        <x:v>13.98</x:v>
      </x:c>
      <x:c r="I110" s="14" t="n">
        <x:f>G110*H110</x:f>
        <x:v>992.58</x:v>
      </x:c>
      <x:c r="J110" s="16" t="n">
        <x:f>IFERROR(F110/E110,0)</x:f>
        <x:v>0.8913043478260869</x:v>
      </x:c>
      <x:c r="K110" s="10" t="str">
        <x:f>IF(J110&lt;0.90,"Stockout","Healthy")</x:f>
        <x:v>Stockout</x:v>
      </x:c>
    </x:row>
    <x:row r="111">
      <x:c r="A111" s="12" t="n">
        <x:v>46054</x:v>
      </x:c>
      <x:c r="B111" s="10" t="str">
        <x:v>Store 501</x:v>
      </x:c>
      <x:c r="C111" s="10" t="str">
        <x:v>South</x:v>
      </x:c>
      <x:c r="D111" s="10" t="str">
        <x:v>Cold &amp; Cough</x:v>
      </x:c>
      <x:c r="E111" s="10" t="n">
        <x:v>43</x:v>
      </x:c>
      <x:c r="F111" s="10" t="n">
        <x:v>37</x:v>
      </x:c>
      <x:c r="G111" s="10" t="n">
        <x:v>146</x:v>
      </x:c>
      <x:c r="H111" s="14" t="n">
        <x:v>14.5</x:v>
      </x:c>
      <x:c r="I111" s="14" t="n">
        <x:f>G111*H111</x:f>
        <x:v>2117</x:v>
      </x:c>
      <x:c r="J111" s="16" t="n">
        <x:f>IFERROR(F111/E111,0)</x:f>
        <x:v>0.8604651162790697</x:v>
      </x:c>
      <x:c r="K111" s="10" t="str">
        <x:f>IF(J111&lt;0.90,"Stockout","Healthy")</x:f>
        <x:v>Stockout</x:v>
      </x:c>
    </x:row>
    <x:row r="112">
      <x:c r="A112" s="12" t="n">
        <x:v>46054</x:v>
      </x:c>
      <x:c r="B112" s="10" t="str">
        <x:v>Store 501</x:v>
      </x:c>
      <x:c r="C112" s="10" t="str">
        <x:v>South</x:v>
      </x:c>
      <x:c r="D112" s="10" t="str">
        <x:v>Digestive Care</x:v>
      </x:c>
      <x:c r="E112" s="10" t="n">
        <x:v>40</x:v>
      </x:c>
      <x:c r="F112" s="10" t="n">
        <x:v>35</x:v>
      </x:c>
      <x:c r="G112" s="10" t="n">
        <x:v>134</x:v>
      </x:c>
      <x:c r="H112" s="14" t="n">
        <x:v>18.79</x:v>
      </x:c>
      <x:c r="I112" s="14" t="n">
        <x:f>G112*H112</x:f>
        <x:v>2517.8599999999997</x:v>
      </x:c>
      <x:c r="J112" s="16" t="n">
        <x:f>IFERROR(F112/E112,0)</x:f>
        <x:v>0.875</x:v>
      </x:c>
      <x:c r="K112" s="10" t="str">
        <x:f>IF(J112&lt;0.90,"Stockout","Healthy")</x:f>
        <x:v>Stockout</x:v>
      </x:c>
    </x:row>
    <x:row r="113">
      <x:c r="A113" s="12" t="n">
        <x:v>46054</x:v>
      </x:c>
      <x:c r="B113" s="10" t="str">
        <x:v>Store 501</x:v>
      </x:c>
      <x:c r="C113" s="10" t="str">
        <x:v>South</x:v>
      </x:c>
      <x:c r="D113" s="10" t="str">
        <x:v>First Aid</x:v>
      </x:c>
      <x:c r="E113" s="10" t="n">
        <x:v>48</x:v>
      </x:c>
      <x:c r="F113" s="10" t="n">
        <x:v>41</x:v>
      </x:c>
      <x:c r="G113" s="10" t="n">
        <x:v>133</x:v>
      </x:c>
      <x:c r="H113" s="14" t="n">
        <x:v>9.62</x:v>
      </x:c>
      <x:c r="I113" s="14" t="n">
        <x:f>G113*H113</x:f>
        <x:v>1279.4599999999998</x:v>
      </x:c>
      <x:c r="J113" s="16" t="n">
        <x:f>IFERROR(F113/E113,0)</x:f>
        <x:v>0.8541666666666666</x:v>
      </x:c>
      <x:c r="K113" s="10" t="str">
        <x:f>IF(J113&lt;0.90,"Stockout","Healthy")</x:f>
        <x:v>Stockout</x:v>
      </x:c>
    </x:row>
    <x:row r="114">
      <x:c r="A114" s="12" t="n">
        <x:v>46054</x:v>
      </x:c>
      <x:c r="B114" s="10" t="str">
        <x:v>Store 501</x:v>
      </x:c>
      <x:c r="C114" s="10" t="str">
        <x:v>South</x:v>
      </x:c>
      <x:c r="D114" s="10" t="str">
        <x:v>Vitamins</x:v>
      </x:c>
      <x:c r="E114" s="10" t="n">
        <x:v>59</x:v>
      </x:c>
      <x:c r="F114" s="10" t="n">
        <x:v>58</x:v>
      </x:c>
      <x:c r="G114" s="10" t="n">
        <x:v>94</x:v>
      </x:c>
      <x:c r="H114" s="14" t="n">
        <x:v>20.62</x:v>
      </x:c>
      <x:c r="I114" s="14" t="n">
        <x:f>G114*H114</x:f>
        <x:v>1938.2800000000002</x:v>
      </x:c>
      <x:c r="J114" s="16" t="n">
        <x:f>IFERROR(F114/E114,0)</x:f>
        <x:v>0.9830508474576272</x:v>
      </x:c>
      <x:c r="K114" s="10" t="str">
        <x:f>IF(J114&lt;0.90,"Stockout","Healthy")</x:f>
        <x:v>Healthy</x:v>
      </x:c>
    </x:row>
    <x:row r="115">
      <x:c r="A115" s="12" t="n">
        <x:v>46054</x:v>
      </x:c>
      <x:c r="B115" s="10" t="str">
        <x:v>Store 501</x:v>
      </x:c>
      <x:c r="C115" s="10" t="str">
        <x:v>South</x:v>
      </x:c>
      <x:c r="D115" s="10" t="str">
        <x:v>Personal Care</x:v>
      </x:c>
      <x:c r="E115" s="10" t="n">
        <x:v>36</x:v>
      </x:c>
      <x:c r="F115" s="10" t="n">
        <x:v>33</x:v>
      </x:c>
      <x:c r="G115" s="10" t="n">
        <x:v>156</x:v>
      </x:c>
      <x:c r="H115" s="14" t="n">
        <x:v>12.43</x:v>
      </x:c>
      <x:c r="I115" s="14" t="n">
        <x:f>G115*H115</x:f>
        <x:v>1939.08</x:v>
      </x:c>
      <x:c r="J115" s="16" t="n">
        <x:f>IFERROR(F115/E115,0)</x:f>
        <x:v>0.9166666666666666</x:v>
      </x:c>
      <x:c r="K115" s="10" t="str">
        <x:f>IF(J115&lt;0.90,"Stockout","Healthy")</x:f>
        <x:v>Healthy</x:v>
      </x:c>
    </x:row>
    <x:row r="116">
      <x:c r="A116" s="12" t="n">
        <x:v>46054</x:v>
      </x:c>
      <x:c r="B116" s="10" t="str">
        <x:v>Store 502</x:v>
      </x:c>
      <x:c r="C116" s="10" t="str">
        <x:v>South</x:v>
      </x:c>
      <x:c r="D116" s="10" t="str">
        <x:v>Pain Relief</x:v>
      </x:c>
      <x:c r="E116" s="10" t="n">
        <x:v>36</x:v>
      </x:c>
      <x:c r="F116" s="10" t="n">
        <x:v>34</x:v>
      </x:c>
      <x:c r="G116" s="10" t="n">
        <x:v>85</x:v>
      </x:c>
      <x:c r="H116" s="14" t="n">
        <x:v>14.15</x:v>
      </x:c>
      <x:c r="I116" s="14" t="n">
        <x:f>G116*H116</x:f>
        <x:v>1202.75</x:v>
      </x:c>
      <x:c r="J116" s="16" t="n">
        <x:f>IFERROR(F116/E116,0)</x:f>
        <x:v>0.9444444444444444</x:v>
      </x:c>
      <x:c r="K116" s="10" t="str">
        <x:f>IF(J116&lt;0.90,"Stockout","Healthy")</x:f>
        <x:v>Healthy</x:v>
      </x:c>
    </x:row>
    <x:row r="117">
      <x:c r="A117" s="12" t="n">
        <x:v>46054</x:v>
      </x:c>
      <x:c r="B117" s="10" t="str">
        <x:v>Store 502</x:v>
      </x:c>
      <x:c r="C117" s="10" t="str">
        <x:v>South</x:v>
      </x:c>
      <x:c r="D117" s="10" t="str">
        <x:v>Cold &amp; Cough</x:v>
      </x:c>
      <x:c r="E117" s="10" t="n">
        <x:v>41</x:v>
      </x:c>
      <x:c r="F117" s="10" t="n">
        <x:v>38</x:v>
      </x:c>
      <x:c r="G117" s="10" t="n">
        <x:v>109</x:v>
      </x:c>
      <x:c r="H117" s="14" t="n">
        <x:v>13.65</x:v>
      </x:c>
      <x:c r="I117" s="14" t="n">
        <x:f>G117*H117</x:f>
        <x:v>1487.8500000000001</x:v>
      </x:c>
      <x:c r="J117" s="16" t="n">
        <x:f>IFERROR(F117/E117,0)</x:f>
        <x:v>0.926829268292683</x:v>
      </x:c>
      <x:c r="K117" s="10" t="str">
        <x:f>IF(J117&lt;0.90,"Stockout","Healthy")</x:f>
        <x:v>Healthy</x:v>
      </x:c>
    </x:row>
    <x:row r="118">
      <x:c r="A118" s="12" t="n">
        <x:v>46054</x:v>
      </x:c>
      <x:c r="B118" s="10" t="str">
        <x:v>Store 502</x:v>
      </x:c>
      <x:c r="C118" s="10" t="str">
        <x:v>South</x:v>
      </x:c>
      <x:c r="D118" s="10" t="str">
        <x:v>Digestive Care</x:v>
      </x:c>
      <x:c r="E118" s="10" t="n">
        <x:v>49</x:v>
      </x:c>
      <x:c r="F118" s="10" t="n">
        <x:v>42</x:v>
      </x:c>
      <x:c r="G118" s="10" t="n">
        <x:v>95</x:v>
      </x:c>
      <x:c r="H118" s="14" t="n">
        <x:v>18</x:v>
      </x:c>
      <x:c r="I118" s="14" t="n">
        <x:f>G118*H118</x:f>
        <x:v>1710</x:v>
      </x:c>
      <x:c r="J118" s="16" t="n">
        <x:f>IFERROR(F118/E118,0)</x:f>
        <x:v>0.8571428571428571</x:v>
      </x:c>
      <x:c r="K118" s="10" t="str">
        <x:f>IF(J118&lt;0.90,"Stockout","Healthy")</x:f>
        <x:v>Stockout</x:v>
      </x:c>
    </x:row>
    <x:row r="119">
      <x:c r="A119" s="12" t="n">
        <x:v>46054</x:v>
      </x:c>
      <x:c r="B119" s="10" t="str">
        <x:v>Store 502</x:v>
      </x:c>
      <x:c r="C119" s="10" t="str">
        <x:v>South</x:v>
      </x:c>
      <x:c r="D119" s="10" t="str">
        <x:v>First Aid</x:v>
      </x:c>
      <x:c r="E119" s="10" t="n">
        <x:v>54</x:v>
      </x:c>
      <x:c r="F119" s="10" t="n">
        <x:v>47</x:v>
      </x:c>
      <x:c r="G119" s="10" t="n">
        <x:v>104</x:v>
      </x:c>
      <x:c r="H119" s="14" t="n">
        <x:v>9.35</x:v>
      </x:c>
      <x:c r="I119" s="14" t="n">
        <x:f>G119*H119</x:f>
        <x:v>972.4</x:v>
      </x:c>
      <x:c r="J119" s="16" t="n">
        <x:f>IFERROR(F119/E119,0)</x:f>
        <x:v>0.8703703703703703</x:v>
      </x:c>
      <x:c r="K119" s="10" t="str">
        <x:f>IF(J119&lt;0.90,"Stockout","Healthy")</x:f>
        <x:v>Stockout</x:v>
      </x:c>
    </x:row>
    <x:row r="120">
      <x:c r="A120" s="12" t="n">
        <x:v>46054</x:v>
      </x:c>
      <x:c r="B120" s="10" t="str">
        <x:v>Store 502</x:v>
      </x:c>
      <x:c r="C120" s="10" t="str">
        <x:v>South</x:v>
      </x:c>
      <x:c r="D120" s="10" t="str">
        <x:v>Vitamins</x:v>
      </x:c>
      <x:c r="E120" s="10" t="n">
        <x:v>46</x:v>
      </x:c>
      <x:c r="F120" s="10" t="n">
        <x:v>43</x:v>
      </x:c>
      <x:c r="G120" s="10" t="n">
        <x:v>159</x:v>
      </x:c>
      <x:c r="H120" s="14" t="n">
        <x:v>19.83</x:v>
      </x:c>
      <x:c r="I120" s="14" t="n">
        <x:f>G120*H120</x:f>
        <x:v>3152.97</x:v>
      </x:c>
      <x:c r="J120" s="16" t="n">
        <x:f>IFERROR(F120/E120,0)</x:f>
        <x:v>0.9347826086956522</x:v>
      </x:c>
      <x:c r="K120" s="10" t="str">
        <x:f>IF(J120&lt;0.90,"Stockout","Healthy")</x:f>
        <x:v>Healthy</x:v>
      </x:c>
    </x:row>
    <x:row r="121">
      <x:c r="A121" s="12" t="n">
        <x:v>46054</x:v>
      </x:c>
      <x:c r="B121" s="10" t="str">
        <x:v>Store 502</x:v>
      </x:c>
      <x:c r="C121" s="10" t="str">
        <x:v>South</x:v>
      </x:c>
      <x:c r="D121" s="10" t="str">
        <x:v>Personal Care</x:v>
      </x:c>
      <x:c r="E121" s="10" t="n">
        <x:v>58</x:v>
      </x:c>
      <x:c r="F121" s="10" t="n">
        <x:v>57</x:v>
      </x:c>
      <x:c r="G121" s="10" t="n">
        <x:v>83</x:v>
      </x:c>
      <x:c r="H121" s="14" t="n">
        <x:v>12.86</x:v>
      </x:c>
      <x:c r="I121" s="14" t="n">
        <x:f>G121*H121</x:f>
        <x:v>1067.3799999999999</x:v>
      </x:c>
      <x:c r="J121" s="16" t="n">
        <x:f>IFERROR(F121/E121,0)</x:f>
        <x:v>0.9827586206896551</x:v>
      </x:c>
      <x:c r="K121" s="10" t="str">
        <x:f>IF(J121&lt;0.90,"Stockout","Healthy")</x:f>
        <x:v>Healthy</x:v>
      </x:c>
    </x:row>
    <x:row r="122">
      <x:c r="A122" s="12" t="n">
        <x:v>46082</x:v>
      </x:c>
      <x:c r="B122" s="10" t="str">
        <x:v>Store 101</x:v>
      </x:c>
      <x:c r="C122" s="10" t="str">
        <x:v>Central</x:v>
      </x:c>
      <x:c r="D122" s="10" t="str">
        <x:v>Pain Relief</x:v>
      </x:c>
      <x:c r="E122" s="10" t="n">
        <x:v>41</x:v>
      </x:c>
      <x:c r="F122" s="10" t="n">
        <x:v>40</x:v>
      </x:c>
      <x:c r="G122" s="10" t="n">
        <x:v>177</x:v>
      </x:c>
      <x:c r="H122" s="14" t="n">
        <x:v>13.69</x:v>
      </x:c>
      <x:c r="I122" s="14" t="n">
        <x:f>G122*H122</x:f>
        <x:v>2423.13</x:v>
      </x:c>
      <x:c r="J122" s="16" t="n">
        <x:f>IFERROR(F122/E122,0)</x:f>
        <x:v>0.975609756097561</x:v>
      </x:c>
      <x:c r="K122" s="10" t="str">
        <x:f>IF(J122&lt;0.90,"Stockout","Healthy")</x:f>
        <x:v>Healthy</x:v>
      </x:c>
    </x:row>
    <x:row r="123">
      <x:c r="A123" s="12" t="n">
        <x:v>46082</x:v>
      </x:c>
      <x:c r="B123" s="10" t="str">
        <x:v>Store 101</x:v>
      </x:c>
      <x:c r="C123" s="10" t="str">
        <x:v>Central</x:v>
      </x:c>
      <x:c r="D123" s="10" t="str">
        <x:v>Cold &amp; Cough</x:v>
      </x:c>
      <x:c r="E123" s="10" t="n">
        <x:v>35</x:v>
      </x:c>
      <x:c r="F123" s="10" t="n">
        <x:v>29</x:v>
      </x:c>
      <x:c r="G123" s="10" t="n">
        <x:v>101</x:v>
      </x:c>
      <x:c r="H123" s="14" t="n">
        <x:v>13.9</x:v>
      </x:c>
      <x:c r="I123" s="14" t="n">
        <x:f>G123*H123</x:f>
        <x:v>1403.9</x:v>
      </x:c>
      <x:c r="J123" s="16" t="n">
        <x:f>IFERROR(F123/E123,0)</x:f>
        <x:v>0.8285714285714286</x:v>
      </x:c>
      <x:c r="K123" s="10" t="str">
        <x:f>IF(J123&lt;0.90,"Stockout","Healthy")</x:f>
        <x:v>Stockout</x:v>
      </x:c>
    </x:row>
    <x:row r="124">
      <x:c r="A124" s="12" t="n">
        <x:v>46082</x:v>
      </x:c>
      <x:c r="B124" s="10" t="str">
        <x:v>Store 101</x:v>
      </x:c>
      <x:c r="C124" s="10" t="str">
        <x:v>Central</x:v>
      </x:c>
      <x:c r="D124" s="10" t="str">
        <x:v>Digestive Care</x:v>
      </x:c>
      <x:c r="E124" s="10" t="n">
        <x:v>38</x:v>
      </x:c>
      <x:c r="F124" s="10" t="n">
        <x:v>36</x:v>
      </x:c>
      <x:c r="G124" s="10" t="n">
        <x:v>86</x:v>
      </x:c>
      <x:c r="H124" s="14" t="n">
        <x:v>20.11</x:v>
      </x:c>
      <x:c r="I124" s="14" t="n">
        <x:f>G124*H124</x:f>
        <x:v>1729.46</x:v>
      </x:c>
      <x:c r="J124" s="16" t="n">
        <x:f>IFERROR(F124/E124,0)</x:f>
        <x:v>0.9473684210526315</x:v>
      </x:c>
      <x:c r="K124" s="10" t="str">
        <x:f>IF(J124&lt;0.90,"Stockout","Healthy")</x:f>
        <x:v>Healthy</x:v>
      </x:c>
    </x:row>
    <x:row r="125">
      <x:c r="A125" s="12" t="n">
        <x:v>46082</x:v>
      </x:c>
      <x:c r="B125" s="10" t="str">
        <x:v>Store 101</x:v>
      </x:c>
      <x:c r="C125" s="10" t="str">
        <x:v>Central</x:v>
      </x:c>
      <x:c r="D125" s="10" t="str">
        <x:v>First Aid</x:v>
      </x:c>
      <x:c r="E125" s="10" t="n">
        <x:v>53</x:v>
      </x:c>
      <x:c r="F125" s="10" t="n">
        <x:v>48</x:v>
      </x:c>
      <x:c r="G125" s="10" t="n">
        <x:v>159</x:v>
      </x:c>
      <x:c r="H125" s="14" t="n">
        <x:v>9.47</x:v>
      </x:c>
      <x:c r="I125" s="14" t="n">
        <x:f>G125*H125</x:f>
        <x:v>1505.73</x:v>
      </x:c>
      <x:c r="J125" s="16" t="n">
        <x:f>IFERROR(F125/E125,0)</x:f>
        <x:v>0.9056603773584906</x:v>
      </x:c>
      <x:c r="K125" s="10" t="str">
        <x:f>IF(J125&lt;0.90,"Stockout","Healthy")</x:f>
        <x:v>Healthy</x:v>
      </x:c>
    </x:row>
    <x:row r="126">
      <x:c r="A126" s="12" t="n">
        <x:v>46082</x:v>
      </x:c>
      <x:c r="B126" s="10" t="str">
        <x:v>Store 101</x:v>
      </x:c>
      <x:c r="C126" s="10" t="str">
        <x:v>Central</x:v>
      </x:c>
      <x:c r="D126" s="10" t="str">
        <x:v>Vitamins</x:v>
      </x:c>
      <x:c r="E126" s="10" t="n">
        <x:v>60</x:v>
      </x:c>
      <x:c r="F126" s="10" t="n">
        <x:v>55</x:v>
      </x:c>
      <x:c r="G126" s="10" t="n">
        <x:v>92</x:v>
      </x:c>
      <x:c r="H126" s="14" t="n">
        <x:v>23.82</x:v>
      </x:c>
      <x:c r="I126" s="14" t="n">
        <x:f>G126*H126</x:f>
        <x:v>2191.44</x:v>
      </x:c>
      <x:c r="J126" s="16" t="n">
        <x:f>IFERROR(F126/E126,0)</x:f>
        <x:v>0.9166666666666666</x:v>
      </x:c>
      <x:c r="K126" s="10" t="str">
        <x:f>IF(J126&lt;0.90,"Stockout","Healthy")</x:f>
        <x:v>Healthy</x:v>
      </x:c>
    </x:row>
    <x:row r="127">
      <x:c r="A127" s="12" t="n">
        <x:v>46082</x:v>
      </x:c>
      <x:c r="B127" s="10" t="str">
        <x:v>Store 101</x:v>
      </x:c>
      <x:c r="C127" s="10" t="str">
        <x:v>Central</x:v>
      </x:c>
      <x:c r="D127" s="10" t="str">
        <x:v>Personal Care</x:v>
      </x:c>
      <x:c r="E127" s="10" t="n">
        <x:v>51</x:v>
      </x:c>
      <x:c r="F127" s="10" t="n">
        <x:v>46</x:v>
      </x:c>
      <x:c r="G127" s="10" t="n">
        <x:v>126</x:v>
      </x:c>
      <x:c r="H127" s="14" t="n">
        <x:v>13.07</x:v>
      </x:c>
      <x:c r="I127" s="14" t="n">
        <x:f>G127*H127</x:f>
        <x:v>1646.82</x:v>
      </x:c>
      <x:c r="J127" s="16" t="n">
        <x:f>IFERROR(F127/E127,0)</x:f>
        <x:v>0.9019607843137255</x:v>
      </x:c>
      <x:c r="K127" s="10" t="str">
        <x:f>IF(J127&lt;0.90,"Stockout","Healthy")</x:f>
        <x:v>Healthy</x:v>
      </x:c>
    </x:row>
    <x:row r="128">
      <x:c r="A128" s="12" t="n">
        <x:v>46082</x:v>
      </x:c>
      <x:c r="B128" s="10" t="str">
        <x:v>Store 102</x:v>
      </x:c>
      <x:c r="C128" s="10" t="str">
        <x:v>Central</x:v>
      </x:c>
      <x:c r="D128" s="10" t="str">
        <x:v>Pain Relief</x:v>
      </x:c>
      <x:c r="E128" s="10" t="n">
        <x:v>48</x:v>
      </x:c>
      <x:c r="F128" s="10" t="n">
        <x:v>45</x:v>
      </x:c>
      <x:c r="G128" s="10" t="n">
        <x:v>143</x:v>
      </x:c>
      <x:c r="H128" s="14" t="n">
        <x:v>14.04</x:v>
      </x:c>
      <x:c r="I128" s="14" t="n">
        <x:f>G128*H128</x:f>
        <x:v>2007.7199999999998</x:v>
      </x:c>
      <x:c r="J128" s="16" t="n">
        <x:f>IFERROR(F128/E128,0)</x:f>
        <x:v>0.9375</x:v>
      </x:c>
      <x:c r="K128" s="10" t="str">
        <x:f>IF(J128&lt;0.90,"Stockout","Healthy")</x:f>
        <x:v>Healthy</x:v>
      </x:c>
    </x:row>
    <x:row r="129">
      <x:c r="A129" s="12" t="n">
        <x:v>46082</x:v>
      </x:c>
      <x:c r="B129" s="10" t="str">
        <x:v>Store 102</x:v>
      </x:c>
      <x:c r="C129" s="10" t="str">
        <x:v>Central</x:v>
      </x:c>
      <x:c r="D129" s="10" t="str">
        <x:v>Cold &amp; Cough</x:v>
      </x:c>
      <x:c r="E129" s="10" t="n">
        <x:v>58</x:v>
      </x:c>
      <x:c r="F129" s="10" t="n">
        <x:v>55</x:v>
      </x:c>
      <x:c r="G129" s="10" t="n">
        <x:v>96</x:v>
      </x:c>
      <x:c r="H129" s="14" t="n">
        <x:v>14.29</x:v>
      </x:c>
      <x:c r="I129" s="14" t="n">
        <x:f>G129*H129</x:f>
        <x:v>1371.84</x:v>
      </x:c>
      <x:c r="J129" s="16" t="n">
        <x:f>IFERROR(F129/E129,0)</x:f>
        <x:v>0.9482758620689655</x:v>
      </x:c>
      <x:c r="K129" s="10" t="str">
        <x:f>IF(J129&lt;0.90,"Stockout","Healthy")</x:f>
        <x:v>Healthy</x:v>
      </x:c>
    </x:row>
    <x:row r="130">
      <x:c r="A130" s="12" t="n">
        <x:v>46082</x:v>
      </x:c>
      <x:c r="B130" s="10" t="str">
        <x:v>Store 102</x:v>
      </x:c>
      <x:c r="C130" s="10" t="str">
        <x:v>Central</x:v>
      </x:c>
      <x:c r="D130" s="10" t="str">
        <x:v>Digestive Care</x:v>
      </x:c>
      <x:c r="E130" s="10" t="n">
        <x:v>48</x:v>
      </x:c>
      <x:c r="F130" s="10" t="n">
        <x:v>46</x:v>
      </x:c>
      <x:c r="G130" s="10" t="n">
        <x:v>134</x:v>
      </x:c>
      <x:c r="H130" s="14" t="n">
        <x:v>17.28</x:v>
      </x:c>
      <x:c r="I130" s="14" t="n">
        <x:f>G130*H130</x:f>
        <x:v>2315.52</x:v>
      </x:c>
      <x:c r="J130" s="16" t="n">
        <x:f>IFERROR(F130/E130,0)</x:f>
        <x:v>0.9583333333333334</x:v>
      </x:c>
      <x:c r="K130" s="10" t="str">
        <x:f>IF(J130&lt;0.90,"Stockout","Healthy")</x:f>
        <x:v>Healthy</x:v>
      </x:c>
    </x:row>
    <x:row r="131">
      <x:c r="A131" s="12" t="n">
        <x:v>46082</x:v>
      </x:c>
      <x:c r="B131" s="10" t="str">
        <x:v>Store 102</x:v>
      </x:c>
      <x:c r="C131" s="10" t="str">
        <x:v>Central</x:v>
      </x:c>
      <x:c r="D131" s="10" t="str">
        <x:v>First Aid</x:v>
      </x:c>
      <x:c r="E131" s="10" t="n">
        <x:v>44</x:v>
      </x:c>
      <x:c r="F131" s="10" t="n">
        <x:v>42</x:v>
      </x:c>
      <x:c r="G131" s="10" t="n">
        <x:v>118</x:v>
      </x:c>
      <x:c r="H131" s="14" t="n">
        <x:v>8.87</x:v>
      </x:c>
      <x:c r="I131" s="14" t="n">
        <x:f>G131*H131</x:f>
        <x:v>1046.6599999999999</x:v>
      </x:c>
      <x:c r="J131" s="16" t="n">
        <x:f>IFERROR(F131/E131,0)</x:f>
        <x:v>0.9545454545454546</x:v>
      </x:c>
      <x:c r="K131" s="10" t="str">
        <x:f>IF(J131&lt;0.90,"Stockout","Healthy")</x:f>
        <x:v>Healthy</x:v>
      </x:c>
    </x:row>
    <x:row r="132">
      <x:c r="A132" s="12" t="n">
        <x:v>46082</x:v>
      </x:c>
      <x:c r="B132" s="10" t="str">
        <x:v>Store 102</x:v>
      </x:c>
      <x:c r="C132" s="10" t="str">
        <x:v>Central</x:v>
      </x:c>
      <x:c r="D132" s="10" t="str">
        <x:v>Vitamins</x:v>
      </x:c>
      <x:c r="E132" s="10" t="n">
        <x:v>46</x:v>
      </x:c>
      <x:c r="F132" s="10" t="n">
        <x:v>42</x:v>
      </x:c>
      <x:c r="G132" s="10" t="n">
        <x:v>87</x:v>
      </x:c>
      <x:c r="H132" s="14" t="n">
        <x:v>20.11</x:v>
      </x:c>
      <x:c r="I132" s="14" t="n">
        <x:f>G132*H132</x:f>
        <x:v>1749.57</x:v>
      </x:c>
      <x:c r="J132" s="16" t="n">
        <x:f>IFERROR(F132/E132,0)</x:f>
        <x:v>0.9130434782608695</x:v>
      </x:c>
      <x:c r="K132" s="10" t="str">
        <x:f>IF(J132&lt;0.90,"Stockout","Healthy")</x:f>
        <x:v>Healthy</x:v>
      </x:c>
    </x:row>
    <x:row r="133">
      <x:c r="A133" s="12" t="n">
        <x:v>46082</x:v>
      </x:c>
      <x:c r="B133" s="10" t="str">
        <x:v>Store 102</x:v>
      </x:c>
      <x:c r="C133" s="10" t="str">
        <x:v>Central</x:v>
      </x:c>
      <x:c r="D133" s="10" t="str">
        <x:v>Personal Care</x:v>
      </x:c>
      <x:c r="E133" s="10" t="n">
        <x:v>47</x:v>
      </x:c>
      <x:c r="F133" s="10" t="n">
        <x:v>43</x:v>
      </x:c>
      <x:c r="G133" s="10" t="n">
        <x:v>149</x:v>
      </x:c>
      <x:c r="H133" s="14" t="n">
        <x:v>10.96</x:v>
      </x:c>
      <x:c r="I133" s="14" t="n">
        <x:f>G133*H133</x:f>
        <x:v>1633.0400000000002</x:v>
      </x:c>
      <x:c r="J133" s="16" t="n">
        <x:f>IFERROR(F133/E133,0)</x:f>
        <x:v>0.9148936170212766</x:v>
      </x:c>
      <x:c r="K133" s="10" t="str">
        <x:f>IF(J133&lt;0.90,"Stockout","Healthy")</x:f>
        <x:v>Healthy</x:v>
      </x:c>
    </x:row>
    <x:row r="134">
      <x:c r="A134" s="12" t="n">
        <x:v>46082</x:v>
      </x:c>
      <x:c r="B134" s="10" t="str">
        <x:v>Store 201</x:v>
      </x:c>
      <x:c r="C134" s="10" t="str">
        <x:v>East</x:v>
      </x:c>
      <x:c r="D134" s="10" t="str">
        <x:v>Pain Relief</x:v>
      </x:c>
      <x:c r="E134" s="10" t="n">
        <x:v>60</x:v>
      </x:c>
      <x:c r="F134" s="10" t="n">
        <x:v>51</x:v>
      </x:c>
      <x:c r="G134" s="10" t="n">
        <x:v>153</x:v>
      </x:c>
      <x:c r="H134" s="14" t="n">
        <x:v>13.88</x:v>
      </x:c>
      <x:c r="I134" s="14" t="n">
        <x:f>G134*H134</x:f>
        <x:v>2123.6400000000003</x:v>
      </x:c>
      <x:c r="J134" s="16" t="n">
        <x:f>IFERROR(F134/E134,0)</x:f>
        <x:v>0.85</x:v>
      </x:c>
      <x:c r="K134" s="10" t="str">
        <x:f>IF(J134&lt;0.90,"Stockout","Healthy")</x:f>
        <x:v>Stockout</x:v>
      </x:c>
    </x:row>
    <x:row r="135">
      <x:c r="A135" s="12" t="n">
        <x:v>46082</x:v>
      </x:c>
      <x:c r="B135" s="10" t="str">
        <x:v>Store 201</x:v>
      </x:c>
      <x:c r="C135" s="10" t="str">
        <x:v>East</x:v>
      </x:c>
      <x:c r="D135" s="10" t="str">
        <x:v>Cold &amp; Cough</x:v>
      </x:c>
      <x:c r="E135" s="10" t="n">
        <x:v>56</x:v>
      </x:c>
      <x:c r="F135" s="10" t="n">
        <x:v>55</x:v>
      </x:c>
      <x:c r="G135" s="10" t="n">
        <x:v>134</x:v>
      </x:c>
      <x:c r="H135" s="14" t="n">
        <x:v>15.4</x:v>
      </x:c>
      <x:c r="I135" s="14" t="n">
        <x:f>G135*H135</x:f>
        <x:v>2063.6</x:v>
      </x:c>
      <x:c r="J135" s="16" t="n">
        <x:f>IFERROR(F135/E135,0)</x:f>
        <x:v>0.9821428571428571</x:v>
      </x:c>
      <x:c r="K135" s="10" t="str">
        <x:f>IF(J135&lt;0.90,"Stockout","Healthy")</x:f>
        <x:v>Healthy</x:v>
      </x:c>
    </x:row>
    <x:row r="136">
      <x:c r="A136" s="12" t="n">
        <x:v>46082</x:v>
      </x:c>
      <x:c r="B136" s="10" t="str">
        <x:v>Store 201</x:v>
      </x:c>
      <x:c r="C136" s="10" t="str">
        <x:v>East</x:v>
      </x:c>
      <x:c r="D136" s="10" t="str">
        <x:v>Digestive Care</x:v>
      </x:c>
      <x:c r="E136" s="10" t="n">
        <x:v>49</x:v>
      </x:c>
      <x:c r="F136" s="10" t="n">
        <x:v>48</x:v>
      </x:c>
      <x:c r="G136" s="10" t="n">
        <x:v>128</x:v>
      </x:c>
      <x:c r="H136" s="14" t="n">
        <x:v>19.18</x:v>
      </x:c>
      <x:c r="I136" s="14" t="n">
        <x:f>G136*H136</x:f>
        <x:v>2455.04</x:v>
      </x:c>
      <x:c r="J136" s="16" t="n">
        <x:f>IFERROR(F136/E136,0)</x:f>
        <x:v>0.9795918367346939</x:v>
      </x:c>
      <x:c r="K136" s="10" t="str">
        <x:f>IF(J136&lt;0.90,"Stockout","Healthy")</x:f>
        <x:v>Healthy</x:v>
      </x:c>
    </x:row>
    <x:row r="137">
      <x:c r="A137" s="12" t="n">
        <x:v>46082</x:v>
      </x:c>
      <x:c r="B137" s="10" t="str">
        <x:v>Store 201</x:v>
      </x:c>
      <x:c r="C137" s="10" t="str">
        <x:v>East</x:v>
      </x:c>
      <x:c r="D137" s="10" t="str">
        <x:v>First Aid</x:v>
      </x:c>
      <x:c r="E137" s="10" t="n">
        <x:v>60</x:v>
      </x:c>
      <x:c r="F137" s="10" t="n">
        <x:v>52</x:v>
      </x:c>
      <x:c r="G137" s="10" t="n">
        <x:v>147</x:v>
      </x:c>
      <x:c r="H137" s="14" t="n">
        <x:v>9.69</x:v>
      </x:c>
      <x:c r="I137" s="14" t="n">
        <x:f>G137*H137</x:f>
        <x:v>1424.4299999999998</x:v>
      </x:c>
      <x:c r="J137" s="16" t="n">
        <x:f>IFERROR(F137/E137,0)</x:f>
        <x:v>0.8666666666666667</x:v>
      </x:c>
      <x:c r="K137" s="10" t="str">
        <x:f>IF(J137&lt;0.90,"Stockout","Healthy")</x:f>
        <x:v>Stockout</x:v>
      </x:c>
    </x:row>
    <x:row r="138">
      <x:c r="A138" s="12" t="n">
        <x:v>46082</x:v>
      </x:c>
      <x:c r="B138" s="10" t="str">
        <x:v>Store 201</x:v>
      </x:c>
      <x:c r="C138" s="10" t="str">
        <x:v>East</x:v>
      </x:c>
      <x:c r="D138" s="10" t="str">
        <x:v>Vitamins</x:v>
      </x:c>
      <x:c r="E138" s="10" t="n">
        <x:v>53</x:v>
      </x:c>
      <x:c r="F138" s="10" t="n">
        <x:v>52</x:v>
      </x:c>
      <x:c r="G138" s="10" t="n">
        <x:v>110</x:v>
      </x:c>
      <x:c r="H138" s="14" t="n">
        <x:v>21.12</x:v>
      </x:c>
      <x:c r="I138" s="14" t="n">
        <x:f>G138*H138</x:f>
        <x:v>2323.2000000000003</x:v>
      </x:c>
      <x:c r="J138" s="16" t="n">
        <x:f>IFERROR(F138/E138,0)</x:f>
        <x:v>0.9811320754716981</x:v>
      </x:c>
      <x:c r="K138" s="10" t="str">
        <x:f>IF(J138&lt;0.90,"Stockout","Healthy")</x:f>
        <x:v>Healthy</x:v>
      </x:c>
    </x:row>
    <x:row r="139">
      <x:c r="A139" s="12" t="n">
        <x:v>46082</x:v>
      </x:c>
      <x:c r="B139" s="10" t="str">
        <x:v>Store 201</x:v>
      </x:c>
      <x:c r="C139" s="10" t="str">
        <x:v>East</x:v>
      </x:c>
      <x:c r="D139" s="10" t="str">
        <x:v>Personal Care</x:v>
      </x:c>
      <x:c r="E139" s="10" t="n">
        <x:v>49</x:v>
      </x:c>
      <x:c r="F139" s="10" t="n">
        <x:v>48</x:v>
      </x:c>
      <x:c r="G139" s="10" t="n">
        <x:v>131</x:v>
      </x:c>
      <x:c r="H139" s="14" t="n">
        <x:v>12.59</x:v>
      </x:c>
      <x:c r="I139" s="14" t="n">
        <x:f>G139*H139</x:f>
        <x:v>1649.29</x:v>
      </x:c>
      <x:c r="J139" s="16" t="n">
        <x:f>IFERROR(F139/E139,0)</x:f>
        <x:v>0.9795918367346939</x:v>
      </x:c>
      <x:c r="K139" s="10" t="str">
        <x:f>IF(J139&lt;0.90,"Stockout","Healthy")</x:f>
        <x:v>Healthy</x:v>
      </x:c>
    </x:row>
    <x:row r="140">
      <x:c r="A140" s="12" t="n">
        <x:v>46082</x:v>
      </x:c>
      <x:c r="B140" s="10" t="str">
        <x:v>Store 202</x:v>
      </x:c>
      <x:c r="C140" s="10" t="str">
        <x:v>East</x:v>
      </x:c>
      <x:c r="D140" s="10" t="str">
        <x:v>Pain Relief</x:v>
      </x:c>
      <x:c r="E140" s="10" t="n">
        <x:v>46</x:v>
      </x:c>
      <x:c r="F140" s="10" t="n">
        <x:v>42</x:v>
      </x:c>
      <x:c r="G140" s="10" t="n">
        <x:v>83</x:v>
      </x:c>
      <x:c r="H140" s="14" t="n">
        <x:v>14.88</x:v>
      </x:c>
      <x:c r="I140" s="14" t="n">
        <x:f>G140*H140</x:f>
        <x:v>1235.04</x:v>
      </x:c>
      <x:c r="J140" s="16" t="n">
        <x:f>IFERROR(F140/E140,0)</x:f>
        <x:v>0.9130434782608695</x:v>
      </x:c>
      <x:c r="K140" s="10" t="str">
        <x:f>IF(J140&lt;0.90,"Stockout","Healthy")</x:f>
        <x:v>Healthy</x:v>
      </x:c>
    </x:row>
    <x:row r="141">
      <x:c r="A141" s="12" t="n">
        <x:v>46082</x:v>
      </x:c>
      <x:c r="B141" s="10" t="str">
        <x:v>Store 202</x:v>
      </x:c>
      <x:c r="C141" s="10" t="str">
        <x:v>East</x:v>
      </x:c>
      <x:c r="D141" s="10" t="str">
        <x:v>Cold &amp; Cough</x:v>
      </x:c>
      <x:c r="E141" s="10" t="n">
        <x:v>53</x:v>
      </x:c>
      <x:c r="F141" s="10" t="n">
        <x:v>44</x:v>
      </x:c>
      <x:c r="G141" s="10" t="n">
        <x:v>119</x:v>
      </x:c>
      <x:c r="H141" s="14" t="n">
        <x:v>15.45</x:v>
      </x:c>
      <x:c r="I141" s="14" t="n">
        <x:f>G141*H141</x:f>
        <x:v>1838.55</x:v>
      </x:c>
      <x:c r="J141" s="16" t="n">
        <x:f>IFERROR(F141/E141,0)</x:f>
        <x:v>0.8301886792452831</x:v>
      </x:c>
      <x:c r="K141" s="10" t="str">
        <x:f>IF(J141&lt;0.90,"Stockout","Healthy")</x:f>
        <x:v>Stockout</x:v>
      </x:c>
    </x:row>
    <x:row r="142">
      <x:c r="A142" s="12" t="n">
        <x:v>46082</x:v>
      </x:c>
      <x:c r="B142" s="10" t="str">
        <x:v>Store 202</x:v>
      </x:c>
      <x:c r="C142" s="10" t="str">
        <x:v>East</x:v>
      </x:c>
      <x:c r="D142" s="10" t="str">
        <x:v>Digestive Care</x:v>
      </x:c>
      <x:c r="E142" s="10" t="n">
        <x:v>55</x:v>
      </x:c>
      <x:c r="F142" s="10" t="n">
        <x:v>54</x:v>
      </x:c>
      <x:c r="G142" s="10" t="n">
        <x:v>136</x:v>
      </x:c>
      <x:c r="H142" s="14" t="n">
        <x:v>16.74</x:v>
      </x:c>
      <x:c r="I142" s="14" t="n">
        <x:f>G142*H142</x:f>
        <x:v>2276.64</x:v>
      </x:c>
      <x:c r="J142" s="16" t="n">
        <x:f>IFERROR(F142/E142,0)</x:f>
        <x:v>0.9818181818181818</x:v>
      </x:c>
      <x:c r="K142" s="10" t="str">
        <x:f>IF(J142&lt;0.90,"Stockout","Healthy")</x:f>
        <x:v>Healthy</x:v>
      </x:c>
    </x:row>
    <x:row r="143">
      <x:c r="A143" s="12" t="n">
        <x:v>46082</x:v>
      </x:c>
      <x:c r="B143" s="10" t="str">
        <x:v>Store 202</x:v>
      </x:c>
      <x:c r="C143" s="10" t="str">
        <x:v>East</x:v>
      </x:c>
      <x:c r="D143" s="10" t="str">
        <x:v>First Aid</x:v>
      </x:c>
      <x:c r="E143" s="10" t="n">
        <x:v>48</x:v>
      </x:c>
      <x:c r="F143" s="10" t="n">
        <x:v>45</x:v>
      </x:c>
      <x:c r="G143" s="10" t="n">
        <x:v>148</x:v>
      </x:c>
      <x:c r="H143" s="14" t="n">
        <x:v>9.23</x:v>
      </x:c>
      <x:c r="I143" s="14" t="n">
        <x:f>G143*H143</x:f>
        <x:v>1366.04</x:v>
      </x:c>
      <x:c r="J143" s="16" t="n">
        <x:f>IFERROR(F143/E143,0)</x:f>
        <x:v>0.9375</x:v>
      </x:c>
      <x:c r="K143" s="10" t="str">
        <x:f>IF(J143&lt;0.90,"Stockout","Healthy")</x:f>
        <x:v>Healthy</x:v>
      </x:c>
    </x:row>
    <x:row r="144">
      <x:c r="A144" s="12" t="n">
        <x:v>46082</x:v>
      </x:c>
      <x:c r="B144" s="10" t="str">
        <x:v>Store 202</x:v>
      </x:c>
      <x:c r="C144" s="10" t="str">
        <x:v>East</x:v>
      </x:c>
      <x:c r="D144" s="10" t="str">
        <x:v>Vitamins</x:v>
      </x:c>
      <x:c r="E144" s="10" t="n">
        <x:v>48</x:v>
      </x:c>
      <x:c r="F144" s="10" t="n">
        <x:v>43</x:v>
      </x:c>
      <x:c r="G144" s="10" t="n">
        <x:v>168</x:v>
      </x:c>
      <x:c r="H144" s="14" t="n">
        <x:v>21.63</x:v>
      </x:c>
      <x:c r="I144" s="14" t="n">
        <x:f>G144*H144</x:f>
        <x:v>3633.8399999999997</x:v>
      </x:c>
      <x:c r="J144" s="16" t="n">
        <x:f>IFERROR(F144/E144,0)</x:f>
        <x:v>0.8958333333333334</x:v>
      </x:c>
      <x:c r="K144" s="10" t="str">
        <x:f>IF(J144&lt;0.90,"Stockout","Healthy")</x:f>
        <x:v>Stockout</x:v>
      </x:c>
    </x:row>
    <x:row r="145">
      <x:c r="A145" s="12" t="n">
        <x:v>46082</x:v>
      </x:c>
      <x:c r="B145" s="10" t="str">
        <x:v>Store 202</x:v>
      </x:c>
      <x:c r="C145" s="10" t="str">
        <x:v>East</x:v>
      </x:c>
      <x:c r="D145" s="10" t="str">
        <x:v>Personal Care</x:v>
      </x:c>
      <x:c r="E145" s="10" t="n">
        <x:v>58</x:v>
      </x:c>
      <x:c r="F145" s="10" t="n">
        <x:v>57</x:v>
      </x:c>
      <x:c r="G145" s="10" t="n">
        <x:v>122</x:v>
      </x:c>
      <x:c r="H145" s="14" t="n">
        <x:v>13</x:v>
      </x:c>
      <x:c r="I145" s="14" t="n">
        <x:f>G145*H145</x:f>
        <x:v>1586</x:v>
      </x:c>
      <x:c r="J145" s="16" t="n">
        <x:f>IFERROR(F145/E145,0)</x:f>
        <x:v>0.9827586206896551</x:v>
      </x:c>
      <x:c r="K145" s="10" t="str">
        <x:f>IF(J145&lt;0.90,"Stockout","Healthy")</x:f>
        <x:v>Healthy</x:v>
      </x:c>
    </x:row>
    <x:row r="146">
      <x:c r="A146" s="12" t="n">
        <x:v>46082</x:v>
      </x:c>
      <x:c r="B146" s="10" t="str">
        <x:v>Store 301</x:v>
      </x:c>
      <x:c r="C146" s="10" t="str">
        <x:v>West</x:v>
      </x:c>
      <x:c r="D146" s="10" t="str">
        <x:v>Pain Relief</x:v>
      </x:c>
      <x:c r="E146" s="10" t="n">
        <x:v>49</x:v>
      </x:c>
      <x:c r="F146" s="10" t="n">
        <x:v>48</x:v>
      </x:c>
      <x:c r="G146" s="10" t="n">
        <x:v>116</x:v>
      </x:c>
      <x:c r="H146" s="14" t="n">
        <x:v>15.12</x:v>
      </x:c>
      <x:c r="I146" s="14" t="n">
        <x:f>G146*H146</x:f>
        <x:v>1753.9199999999998</x:v>
      </x:c>
      <x:c r="J146" s="16" t="n">
        <x:f>IFERROR(F146/E146,0)</x:f>
        <x:v>0.9795918367346939</x:v>
      </x:c>
      <x:c r="K146" s="10" t="str">
        <x:f>IF(J146&lt;0.90,"Stockout","Healthy")</x:f>
        <x:v>Healthy</x:v>
      </x:c>
    </x:row>
    <x:row r="147">
      <x:c r="A147" s="12" t="n">
        <x:v>46082</x:v>
      </x:c>
      <x:c r="B147" s="10" t="str">
        <x:v>Store 301</x:v>
      </x:c>
      <x:c r="C147" s="10" t="str">
        <x:v>West</x:v>
      </x:c>
      <x:c r="D147" s="10" t="str">
        <x:v>Cold &amp; Cough</x:v>
      </x:c>
      <x:c r="E147" s="10" t="n">
        <x:v>45</x:v>
      </x:c>
      <x:c r="F147" s="10" t="n">
        <x:v>42</x:v>
      </x:c>
      <x:c r="G147" s="10" t="n">
        <x:v>121</x:v>
      </x:c>
      <x:c r="H147" s="14" t="n">
        <x:v>16.66</x:v>
      </x:c>
      <x:c r="I147" s="14" t="n">
        <x:f>G147*H147</x:f>
        <x:v>2015.8600000000001</x:v>
      </x:c>
      <x:c r="J147" s="16" t="n">
        <x:f>IFERROR(F147/E147,0)</x:f>
        <x:v>0.9333333333333333</x:v>
      </x:c>
      <x:c r="K147" s="10" t="str">
        <x:f>IF(J147&lt;0.90,"Stockout","Healthy")</x:f>
        <x:v>Healthy</x:v>
      </x:c>
    </x:row>
    <x:row r="148">
      <x:c r="A148" s="12" t="n">
        <x:v>46082</x:v>
      </x:c>
      <x:c r="B148" s="10" t="str">
        <x:v>Store 301</x:v>
      </x:c>
      <x:c r="C148" s="10" t="str">
        <x:v>West</x:v>
      </x:c>
      <x:c r="D148" s="10" t="str">
        <x:v>Digestive Care</x:v>
      </x:c>
      <x:c r="E148" s="10" t="n">
        <x:v>35</x:v>
      </x:c>
      <x:c r="F148" s="10" t="n">
        <x:v>33</x:v>
      </x:c>
      <x:c r="G148" s="10" t="n">
        <x:v>51</x:v>
      </x:c>
      <x:c r="H148" s="14" t="n">
        <x:v>16.99</x:v>
      </x:c>
      <x:c r="I148" s="14" t="n">
        <x:f>G148*H148</x:f>
        <x:v>866.4899999999999</x:v>
      </x:c>
      <x:c r="J148" s="16" t="n">
        <x:f>IFERROR(F148/E148,0)</x:f>
        <x:v>0.9428571428571428</x:v>
      </x:c>
      <x:c r="K148" s="10" t="str">
        <x:f>IF(J148&lt;0.90,"Stockout","Healthy")</x:f>
        <x:v>Healthy</x:v>
      </x:c>
    </x:row>
    <x:row r="149">
      <x:c r="A149" s="12" t="n">
        <x:v>46082</x:v>
      </x:c>
      <x:c r="B149" s="10" t="str">
        <x:v>Store 301</x:v>
      </x:c>
      <x:c r="C149" s="10" t="str">
        <x:v>West</x:v>
      </x:c>
      <x:c r="D149" s="10" t="str">
        <x:v>First Aid</x:v>
      </x:c>
      <x:c r="E149" s="10" t="n">
        <x:v>34</x:v>
      </x:c>
      <x:c r="F149" s="10" t="n">
        <x:v>31</x:v>
      </x:c>
      <x:c r="G149" s="10" t="n">
        <x:v>99</x:v>
      </x:c>
      <x:c r="H149" s="14" t="n">
        <x:v>9.54</x:v>
      </x:c>
      <x:c r="I149" s="14" t="n">
        <x:f>G149*H149</x:f>
        <x:v>944.4599999999999</x:v>
      </x:c>
      <x:c r="J149" s="16" t="n">
        <x:f>IFERROR(F149/E149,0)</x:f>
        <x:v>0.9117647058823529</x:v>
      </x:c>
      <x:c r="K149" s="10" t="str">
        <x:f>IF(J149&lt;0.90,"Stockout","Healthy")</x:f>
        <x:v>Healthy</x:v>
      </x:c>
    </x:row>
    <x:row r="150">
      <x:c r="A150" s="12" t="n">
        <x:v>46082</x:v>
      </x:c>
      <x:c r="B150" s="10" t="str">
        <x:v>Store 301</x:v>
      </x:c>
      <x:c r="C150" s="10" t="str">
        <x:v>West</x:v>
      </x:c>
      <x:c r="D150" s="10" t="str">
        <x:v>Vitamins</x:v>
      </x:c>
      <x:c r="E150" s="10" t="n">
        <x:v>37</x:v>
      </x:c>
      <x:c r="F150" s="10" t="n">
        <x:v>33</x:v>
      </x:c>
      <x:c r="G150" s="10" t="n">
        <x:v>105</x:v>
      </x:c>
      <x:c r="H150" s="14" t="n">
        <x:v>23.19</x:v>
      </x:c>
      <x:c r="I150" s="14" t="n">
        <x:f>G150*H150</x:f>
        <x:v>2434.9500000000003</x:v>
      </x:c>
      <x:c r="J150" s="16" t="n">
        <x:f>IFERROR(F150/E150,0)</x:f>
        <x:v>0.8918918918918919</x:v>
      </x:c>
      <x:c r="K150" s="10" t="str">
        <x:f>IF(J150&lt;0.90,"Stockout","Healthy")</x:f>
        <x:v>Stockout</x:v>
      </x:c>
    </x:row>
    <x:row r="151">
      <x:c r="A151" s="12" t="n">
        <x:v>46082</x:v>
      </x:c>
      <x:c r="B151" s="10" t="str">
        <x:v>Store 301</x:v>
      </x:c>
      <x:c r="C151" s="10" t="str">
        <x:v>West</x:v>
      </x:c>
      <x:c r="D151" s="10" t="str">
        <x:v>Personal Care</x:v>
      </x:c>
      <x:c r="E151" s="10" t="n">
        <x:v>58</x:v>
      </x:c>
      <x:c r="F151" s="10" t="n">
        <x:v>52</x:v>
      </x:c>
      <x:c r="G151" s="10" t="n">
        <x:v>137</x:v>
      </x:c>
      <x:c r="H151" s="14" t="n">
        <x:v>13.34</x:v>
      </x:c>
      <x:c r="I151" s="14" t="n">
        <x:f>G151*H151</x:f>
        <x:v>1827.58</x:v>
      </x:c>
      <x:c r="J151" s="16" t="n">
        <x:f>IFERROR(F151/E151,0)</x:f>
        <x:v>0.896551724137931</x:v>
      </x:c>
      <x:c r="K151" s="10" t="str">
        <x:f>IF(J151&lt;0.90,"Stockout","Healthy")</x:f>
        <x:v>Stockout</x:v>
      </x:c>
    </x:row>
    <x:row r="152">
      <x:c r="A152" s="12" t="n">
        <x:v>46082</x:v>
      </x:c>
      <x:c r="B152" s="10" t="str">
        <x:v>Store 302</x:v>
      </x:c>
      <x:c r="C152" s="10" t="str">
        <x:v>West</x:v>
      </x:c>
      <x:c r="D152" s="10" t="str">
        <x:v>Pain Relief</x:v>
      </x:c>
      <x:c r="E152" s="10" t="n">
        <x:v>56</x:v>
      </x:c>
      <x:c r="F152" s="10" t="n">
        <x:v>55</x:v>
      </x:c>
      <x:c r="G152" s="10" t="n">
        <x:v>145</x:v>
      </x:c>
      <x:c r="H152" s="14" t="n">
        <x:v>15.02</x:v>
      </x:c>
      <x:c r="I152" s="14" t="n">
        <x:f>G152*H152</x:f>
        <x:v>2177.9</x:v>
      </x:c>
      <x:c r="J152" s="16" t="n">
        <x:f>IFERROR(F152/E152,0)</x:f>
        <x:v>0.9821428571428571</x:v>
      </x:c>
      <x:c r="K152" s="10" t="str">
        <x:f>IF(J152&lt;0.90,"Stockout","Healthy")</x:f>
        <x:v>Healthy</x:v>
      </x:c>
    </x:row>
    <x:row r="153">
      <x:c r="A153" s="12" t="n">
        <x:v>46082</x:v>
      </x:c>
      <x:c r="B153" s="10" t="str">
        <x:v>Store 302</x:v>
      </x:c>
      <x:c r="C153" s="10" t="str">
        <x:v>West</x:v>
      </x:c>
      <x:c r="D153" s="10" t="str">
        <x:v>Cold &amp; Cough</x:v>
      </x:c>
      <x:c r="E153" s="10" t="n">
        <x:v>37</x:v>
      </x:c>
      <x:c r="F153" s="10" t="n">
        <x:v>31</x:v>
      </x:c>
      <x:c r="G153" s="10" t="n">
        <x:v>88</x:v>
      </x:c>
      <x:c r="H153" s="14" t="n">
        <x:v>15.4</x:v>
      </x:c>
      <x:c r="I153" s="14" t="n">
        <x:f>G153*H153</x:f>
        <x:v>1355.2</x:v>
      </x:c>
      <x:c r="J153" s="16" t="n">
        <x:f>IFERROR(F153/E153,0)</x:f>
        <x:v>0.8378378378378378</x:v>
      </x:c>
      <x:c r="K153" s="10" t="str">
        <x:f>IF(J153&lt;0.90,"Stockout","Healthy")</x:f>
        <x:v>Stockout</x:v>
      </x:c>
    </x:row>
    <x:row r="154">
      <x:c r="A154" s="12" t="n">
        <x:v>46082</x:v>
      </x:c>
      <x:c r="B154" s="10" t="str">
        <x:v>Store 302</x:v>
      </x:c>
      <x:c r="C154" s="10" t="str">
        <x:v>West</x:v>
      </x:c>
      <x:c r="D154" s="10" t="str">
        <x:v>Digestive Care</x:v>
      </x:c>
      <x:c r="E154" s="10" t="n">
        <x:v>46</x:v>
      </x:c>
      <x:c r="F154" s="10" t="n">
        <x:v>40</x:v>
      </x:c>
      <x:c r="G154" s="10" t="n">
        <x:v>139</x:v>
      </x:c>
      <x:c r="H154" s="14" t="n">
        <x:v>16.5</x:v>
      </x:c>
      <x:c r="I154" s="14" t="n">
        <x:f>G154*H154</x:f>
        <x:v>2293.5</x:v>
      </x:c>
      <x:c r="J154" s="16" t="n">
        <x:f>IFERROR(F154/E154,0)</x:f>
        <x:v>0.8695652173913043</x:v>
      </x:c>
      <x:c r="K154" s="10" t="str">
        <x:f>IF(J154&lt;0.90,"Stockout","Healthy")</x:f>
        <x:v>Stockout</x:v>
      </x:c>
    </x:row>
    <x:row r="155">
      <x:c r="A155" s="12" t="n">
        <x:v>46082</x:v>
      </x:c>
      <x:c r="B155" s="10" t="str">
        <x:v>Store 302</x:v>
      </x:c>
      <x:c r="C155" s="10" t="str">
        <x:v>West</x:v>
      </x:c>
      <x:c r="D155" s="10" t="str">
        <x:v>First Aid</x:v>
      </x:c>
      <x:c r="E155" s="10" t="n">
        <x:v>56</x:v>
      </x:c>
      <x:c r="F155" s="10" t="n">
        <x:v>53</x:v>
      </x:c>
      <x:c r="G155" s="10" t="n">
        <x:v>99</x:v>
      </x:c>
      <x:c r="H155" s="14" t="n">
        <x:v>10.01</x:v>
      </x:c>
      <x:c r="I155" s="14" t="n">
        <x:f>G155*H155</x:f>
        <x:v>990.99</x:v>
      </x:c>
      <x:c r="J155" s="16" t="n">
        <x:f>IFERROR(F155/E155,0)</x:f>
        <x:v>0.9464285714285714</x:v>
      </x:c>
      <x:c r="K155" s="10" t="str">
        <x:f>IF(J155&lt;0.90,"Stockout","Healthy")</x:f>
        <x:v>Healthy</x:v>
      </x:c>
    </x:row>
    <x:row r="156">
      <x:c r="A156" s="12" t="n">
        <x:v>46082</x:v>
      </x:c>
      <x:c r="B156" s="10" t="str">
        <x:v>Store 302</x:v>
      </x:c>
      <x:c r="C156" s="10" t="str">
        <x:v>West</x:v>
      </x:c>
      <x:c r="D156" s="10" t="str">
        <x:v>Vitamins</x:v>
      </x:c>
      <x:c r="E156" s="10" t="n">
        <x:v>43</x:v>
      </x:c>
      <x:c r="F156" s="10" t="n">
        <x:v>42</x:v>
      </x:c>
      <x:c r="G156" s="10" t="n">
        <x:v>87</x:v>
      </x:c>
      <x:c r="H156" s="14" t="n">
        <x:v>20.39</x:v>
      </x:c>
      <x:c r="I156" s="14" t="n">
        <x:f>G156*H156</x:f>
        <x:v>1773.93</x:v>
      </x:c>
      <x:c r="J156" s="16" t="n">
        <x:f>IFERROR(F156/E156,0)</x:f>
        <x:v>0.9767441860465116</x:v>
      </x:c>
      <x:c r="K156" s="10" t="str">
        <x:f>IF(J156&lt;0.90,"Stockout","Healthy")</x:f>
        <x:v>Healthy</x:v>
      </x:c>
    </x:row>
    <x:row r="157">
      <x:c r="A157" s="12" t="n">
        <x:v>46082</x:v>
      </x:c>
      <x:c r="B157" s="10" t="str">
        <x:v>Store 302</x:v>
      </x:c>
      <x:c r="C157" s="10" t="str">
        <x:v>West</x:v>
      </x:c>
      <x:c r="D157" s="10" t="str">
        <x:v>Personal Care</x:v>
      </x:c>
      <x:c r="E157" s="10" t="n">
        <x:v>52</x:v>
      </x:c>
      <x:c r="F157" s="10" t="n">
        <x:v>49</x:v>
      </x:c>
      <x:c r="G157" s="10" t="n">
        <x:v>92</x:v>
      </x:c>
      <x:c r="H157" s="14" t="n">
        <x:v>11.93</x:v>
      </x:c>
      <x:c r="I157" s="14" t="n">
        <x:f>G157*H157</x:f>
        <x:v>1097.56</x:v>
      </x:c>
      <x:c r="J157" s="16" t="n">
        <x:f>IFERROR(F157/E157,0)</x:f>
        <x:v>0.9423076923076923</x:v>
      </x:c>
      <x:c r="K157" s="10" t="str">
        <x:f>IF(J157&lt;0.90,"Stockout","Healthy")</x:f>
        <x:v>Healthy</x:v>
      </x:c>
    </x:row>
    <x:row r="158">
      <x:c r="A158" s="12" t="n">
        <x:v>46082</x:v>
      </x:c>
      <x:c r="B158" s="10" t="str">
        <x:v>Store 401</x:v>
      </x:c>
      <x:c r="C158" s="10" t="str">
        <x:v>North</x:v>
      </x:c>
      <x:c r="D158" s="10" t="str">
        <x:v>Pain Relief</x:v>
      </x:c>
      <x:c r="E158" s="10" t="n">
        <x:v>45</x:v>
      </x:c>
      <x:c r="F158" s="10" t="n">
        <x:v>45</x:v>
      </x:c>
      <x:c r="G158" s="10" t="n">
        <x:v>133</x:v>
      </x:c>
      <x:c r="H158" s="14" t="n">
        <x:v>12.19</x:v>
      </x:c>
      <x:c r="I158" s="14" t="n">
        <x:f>G158*H158</x:f>
        <x:v>1621.27</x:v>
      </x:c>
      <x:c r="J158" s="16" t="n">
        <x:f>IFERROR(F158/E158,0)</x:f>
        <x:v>1</x:v>
      </x:c>
      <x:c r="K158" s="10" t="str">
        <x:f>IF(J158&lt;0.90,"Stockout","Healthy")</x:f>
        <x:v>Healthy</x:v>
      </x:c>
    </x:row>
    <x:row r="159">
      <x:c r="A159" s="12" t="n">
        <x:v>46082</x:v>
      </x:c>
      <x:c r="B159" s="10" t="str">
        <x:v>Store 401</x:v>
      </x:c>
      <x:c r="C159" s="10" t="str">
        <x:v>North</x:v>
      </x:c>
      <x:c r="D159" s="10" t="str">
        <x:v>Cold &amp; Cough</x:v>
      </x:c>
      <x:c r="E159" s="10" t="n">
        <x:v>47</x:v>
      </x:c>
      <x:c r="F159" s="10" t="n">
        <x:v>44</x:v>
      </x:c>
      <x:c r="G159" s="10" t="n">
        <x:v>107</x:v>
      </x:c>
      <x:c r="H159" s="14" t="n">
        <x:v>16.67</x:v>
      </x:c>
      <x:c r="I159" s="14" t="n">
        <x:f>G159*H159</x:f>
        <x:v>1783.6900000000003</x:v>
      </x:c>
      <x:c r="J159" s="16" t="n">
        <x:f>IFERROR(F159/E159,0)</x:f>
        <x:v>0.9361702127659575</x:v>
      </x:c>
      <x:c r="K159" s="10" t="str">
        <x:f>IF(J159&lt;0.90,"Stockout","Healthy")</x:f>
        <x:v>Healthy</x:v>
      </x:c>
    </x:row>
    <x:row r="160">
      <x:c r="A160" s="12" t="n">
        <x:v>46082</x:v>
      </x:c>
      <x:c r="B160" s="10" t="str">
        <x:v>Store 401</x:v>
      </x:c>
      <x:c r="C160" s="10" t="str">
        <x:v>North</x:v>
      </x:c>
      <x:c r="D160" s="10" t="str">
        <x:v>Digestive Care</x:v>
      </x:c>
      <x:c r="E160" s="10" t="n">
        <x:v>54</x:v>
      </x:c>
      <x:c r="F160" s="10" t="n">
        <x:v>52</x:v>
      </x:c>
      <x:c r="G160" s="10" t="n">
        <x:v>100</x:v>
      </x:c>
      <x:c r="H160" s="14" t="n">
        <x:v>16.81</x:v>
      </x:c>
      <x:c r="I160" s="14" t="n">
        <x:f>G160*H160</x:f>
        <x:v>1680.9999999999998</x:v>
      </x:c>
      <x:c r="J160" s="16" t="n">
        <x:f>IFERROR(F160/E160,0)</x:f>
        <x:v>0.9629629629629629</x:v>
      </x:c>
      <x:c r="K160" s="10" t="str">
        <x:f>IF(J160&lt;0.90,"Stockout","Healthy")</x:f>
        <x:v>Healthy</x:v>
      </x:c>
    </x:row>
    <x:row r="161">
      <x:c r="A161" s="12" t="n">
        <x:v>46082</x:v>
      </x:c>
      <x:c r="B161" s="10" t="str">
        <x:v>Store 401</x:v>
      </x:c>
      <x:c r="C161" s="10" t="str">
        <x:v>North</x:v>
      </x:c>
      <x:c r="D161" s="10" t="str">
        <x:v>First Aid</x:v>
      </x:c>
      <x:c r="E161" s="10" t="n">
        <x:v>39</x:v>
      </x:c>
      <x:c r="F161" s="10" t="n">
        <x:v>36</x:v>
      </x:c>
      <x:c r="G161" s="10" t="n">
        <x:v>53</x:v>
      </x:c>
      <x:c r="H161" s="14" t="n">
        <x:v>9.11</x:v>
      </x:c>
      <x:c r="I161" s="14" t="n">
        <x:f>G161*H161</x:f>
        <x:v>482.83</x:v>
      </x:c>
      <x:c r="J161" s="16" t="n">
        <x:f>IFERROR(F161/E161,0)</x:f>
        <x:v>0.9230769230769231</x:v>
      </x:c>
      <x:c r="K161" s="10" t="str">
        <x:f>IF(J161&lt;0.90,"Stockout","Healthy")</x:f>
        <x:v>Healthy</x:v>
      </x:c>
    </x:row>
    <x:row r="162">
      <x:c r="A162" s="12" t="n">
        <x:v>46082</x:v>
      </x:c>
      <x:c r="B162" s="10" t="str">
        <x:v>Store 401</x:v>
      </x:c>
      <x:c r="C162" s="10" t="str">
        <x:v>North</x:v>
      </x:c>
      <x:c r="D162" s="10" t="str">
        <x:v>Vitamins</x:v>
      </x:c>
      <x:c r="E162" s="10" t="n">
        <x:v>59</x:v>
      </x:c>
      <x:c r="F162" s="10" t="n">
        <x:v>58</x:v>
      </x:c>
      <x:c r="G162" s="10" t="n">
        <x:v>97</x:v>
      </x:c>
      <x:c r="H162" s="14" t="n">
        <x:v>22.05</x:v>
      </x:c>
      <x:c r="I162" s="14" t="n">
        <x:f>G162*H162</x:f>
        <x:v>2138.85</x:v>
      </x:c>
      <x:c r="J162" s="16" t="n">
        <x:f>IFERROR(F162/E162,0)</x:f>
        <x:v>0.9830508474576272</x:v>
      </x:c>
      <x:c r="K162" s="10" t="str">
        <x:f>IF(J162&lt;0.90,"Stockout","Healthy")</x:f>
        <x:v>Healthy</x:v>
      </x:c>
    </x:row>
    <x:row r="163">
      <x:c r="A163" s="12" t="n">
        <x:v>46082</x:v>
      </x:c>
      <x:c r="B163" s="10" t="str">
        <x:v>Store 401</x:v>
      </x:c>
      <x:c r="C163" s="10" t="str">
        <x:v>North</x:v>
      </x:c>
      <x:c r="D163" s="10" t="str">
        <x:v>Personal Care</x:v>
      </x:c>
      <x:c r="E163" s="10" t="n">
        <x:v>60</x:v>
      </x:c>
      <x:c r="F163" s="10" t="n">
        <x:v>56</x:v>
      </x:c>
      <x:c r="G163" s="10" t="n">
        <x:v>98</x:v>
      </x:c>
      <x:c r="H163" s="14" t="n">
        <x:v>13.05</x:v>
      </x:c>
      <x:c r="I163" s="14" t="n">
        <x:f>G163*H163</x:f>
        <x:v>1278.9</x:v>
      </x:c>
      <x:c r="J163" s="16" t="n">
        <x:f>IFERROR(F163/E163,0)</x:f>
        <x:v>0.9333333333333333</x:v>
      </x:c>
      <x:c r="K163" s="10" t="str">
        <x:f>IF(J163&lt;0.90,"Stockout","Healthy")</x:f>
        <x:v>Healthy</x:v>
      </x:c>
    </x:row>
    <x:row r="164">
      <x:c r="A164" s="12" t="n">
        <x:v>46082</x:v>
      </x:c>
      <x:c r="B164" s="10" t="str">
        <x:v>Store 402</x:v>
      </x:c>
      <x:c r="C164" s="10" t="str">
        <x:v>North</x:v>
      </x:c>
      <x:c r="D164" s="10" t="str">
        <x:v>Pain Relief</x:v>
      </x:c>
      <x:c r="E164" s="10" t="n">
        <x:v>60</x:v>
      </x:c>
      <x:c r="F164" s="10" t="n">
        <x:v>58</x:v>
      </x:c>
      <x:c r="G164" s="10" t="n">
        <x:v>113</x:v>
      </x:c>
      <x:c r="H164" s="14" t="n">
        <x:v>13.49</x:v>
      </x:c>
      <x:c r="I164" s="14" t="n">
        <x:f>G164*H164</x:f>
        <x:v>1524.3700000000001</x:v>
      </x:c>
      <x:c r="J164" s="16" t="n">
        <x:f>IFERROR(F164/E164,0)</x:f>
        <x:v>0.9666666666666667</x:v>
      </x:c>
      <x:c r="K164" s="10" t="str">
        <x:f>IF(J164&lt;0.90,"Stockout","Healthy")</x:f>
        <x:v>Healthy</x:v>
      </x:c>
    </x:row>
    <x:row r="165">
      <x:c r="A165" s="12" t="n">
        <x:v>46082</x:v>
      </x:c>
      <x:c r="B165" s="10" t="str">
        <x:v>Store 402</x:v>
      </x:c>
      <x:c r="C165" s="10" t="str">
        <x:v>North</x:v>
      </x:c>
      <x:c r="D165" s="10" t="str">
        <x:v>Cold &amp; Cough</x:v>
      </x:c>
      <x:c r="E165" s="10" t="n">
        <x:v>58</x:v>
      </x:c>
      <x:c r="F165" s="10" t="n">
        <x:v>51</x:v>
      </x:c>
      <x:c r="G165" s="10" t="n">
        <x:v>129</x:v>
      </x:c>
      <x:c r="H165" s="14" t="n">
        <x:v>14.75</x:v>
      </x:c>
      <x:c r="I165" s="14" t="n">
        <x:f>G165*H165</x:f>
        <x:v>1902.75</x:v>
      </x:c>
      <x:c r="J165" s="16" t="n">
        <x:f>IFERROR(F165/E165,0)</x:f>
        <x:v>0.8793103448275862</x:v>
      </x:c>
      <x:c r="K165" s="10" t="str">
        <x:f>IF(J165&lt;0.90,"Stockout","Healthy")</x:f>
        <x:v>Stockout</x:v>
      </x:c>
    </x:row>
    <x:row r="166">
      <x:c r="A166" s="12" t="n">
        <x:v>46082</x:v>
      </x:c>
      <x:c r="B166" s="10" t="str">
        <x:v>Store 402</x:v>
      </x:c>
      <x:c r="C166" s="10" t="str">
        <x:v>North</x:v>
      </x:c>
      <x:c r="D166" s="10" t="str">
        <x:v>Digestive Care</x:v>
      </x:c>
      <x:c r="E166" s="10" t="n">
        <x:v>34</x:v>
      </x:c>
      <x:c r="F166" s="10" t="n">
        <x:v>30</x:v>
      </x:c>
      <x:c r="G166" s="10" t="n">
        <x:v>122</x:v>
      </x:c>
      <x:c r="H166" s="14" t="n">
        <x:v>18.13</x:v>
      </x:c>
      <x:c r="I166" s="14" t="n">
        <x:f>G166*H166</x:f>
        <x:v>2211.8599999999997</x:v>
      </x:c>
      <x:c r="J166" s="16" t="n">
        <x:f>IFERROR(F166/E166,0)</x:f>
        <x:v>0.8823529411764706</x:v>
      </x:c>
      <x:c r="K166" s="10" t="str">
        <x:f>IF(J166&lt;0.90,"Stockout","Healthy")</x:f>
        <x:v>Stockout</x:v>
      </x:c>
    </x:row>
    <x:row r="167">
      <x:c r="A167" s="12" t="n">
        <x:v>46082</x:v>
      </x:c>
      <x:c r="B167" s="10" t="str">
        <x:v>Store 402</x:v>
      </x:c>
      <x:c r="C167" s="10" t="str">
        <x:v>North</x:v>
      </x:c>
      <x:c r="D167" s="10" t="str">
        <x:v>First Aid</x:v>
      </x:c>
      <x:c r="E167" s="10" t="n">
        <x:v>45</x:v>
      </x:c>
      <x:c r="F167" s="10" t="n">
        <x:v>42</x:v>
      </x:c>
      <x:c r="G167" s="10" t="n">
        <x:v>99</x:v>
      </x:c>
      <x:c r="H167" s="14" t="n">
        <x:v>10.39</x:v>
      </x:c>
      <x:c r="I167" s="14" t="n">
        <x:f>G167*H167</x:f>
        <x:v>1028.6100000000001</x:v>
      </x:c>
      <x:c r="J167" s="16" t="n">
        <x:f>IFERROR(F167/E167,0)</x:f>
        <x:v>0.9333333333333333</x:v>
      </x:c>
      <x:c r="K167" s="10" t="str">
        <x:f>IF(J167&lt;0.90,"Stockout","Healthy")</x:f>
        <x:v>Healthy</x:v>
      </x:c>
    </x:row>
    <x:row r="168">
      <x:c r="A168" s="12" t="n">
        <x:v>46082</x:v>
      </x:c>
      <x:c r="B168" s="10" t="str">
        <x:v>Store 402</x:v>
      </x:c>
      <x:c r="C168" s="10" t="str">
        <x:v>North</x:v>
      </x:c>
      <x:c r="D168" s="10" t="str">
        <x:v>Vitamins</x:v>
      </x:c>
      <x:c r="E168" s="10" t="n">
        <x:v>56</x:v>
      </x:c>
      <x:c r="F168" s="10" t="n">
        <x:v>55</x:v>
      </x:c>
      <x:c r="G168" s="10" t="n">
        <x:v>99</x:v>
      </x:c>
      <x:c r="H168" s="14" t="n">
        <x:v>22.3</x:v>
      </x:c>
      <x:c r="I168" s="14" t="n">
        <x:f>G168*H168</x:f>
        <x:v>2207.7000000000003</x:v>
      </x:c>
      <x:c r="J168" s="16" t="n">
        <x:f>IFERROR(F168/E168,0)</x:f>
        <x:v>0.9821428571428571</x:v>
      </x:c>
      <x:c r="K168" s="10" t="str">
        <x:f>IF(J168&lt;0.90,"Stockout","Healthy")</x:f>
        <x:v>Healthy</x:v>
      </x:c>
    </x:row>
    <x:row r="169">
      <x:c r="A169" s="12" t="n">
        <x:v>46082</x:v>
      </x:c>
      <x:c r="B169" s="10" t="str">
        <x:v>Store 402</x:v>
      </x:c>
      <x:c r="C169" s="10" t="str">
        <x:v>North</x:v>
      </x:c>
      <x:c r="D169" s="10" t="str">
        <x:v>Personal Care</x:v>
      </x:c>
      <x:c r="E169" s="10" t="n">
        <x:v>40</x:v>
      </x:c>
      <x:c r="F169" s="10" t="n">
        <x:v>40</x:v>
      </x:c>
      <x:c r="G169" s="10" t="n">
        <x:v>141</x:v>
      </x:c>
      <x:c r="H169" s="14" t="n">
        <x:v>12.09</x:v>
      </x:c>
      <x:c r="I169" s="14" t="n">
        <x:f>G169*H169</x:f>
        <x:v>1704.69</x:v>
      </x:c>
      <x:c r="J169" s="16" t="n">
        <x:f>IFERROR(F169/E169,0)</x:f>
        <x:v>1</x:v>
      </x:c>
      <x:c r="K169" s="10" t="str">
        <x:f>IF(J169&lt;0.90,"Stockout","Healthy")</x:f>
        <x:v>Healthy</x:v>
      </x:c>
    </x:row>
    <x:row r="170">
      <x:c r="A170" s="12" t="n">
        <x:v>46082</x:v>
      </x:c>
      <x:c r="B170" s="10" t="str">
        <x:v>Store 501</x:v>
      </x:c>
      <x:c r="C170" s="10" t="str">
        <x:v>South</x:v>
      </x:c>
      <x:c r="D170" s="10" t="str">
        <x:v>Pain Relief</x:v>
      </x:c>
      <x:c r="E170" s="10" t="n">
        <x:v>58</x:v>
      </x:c>
      <x:c r="F170" s="10" t="n">
        <x:v>54</x:v>
      </x:c>
      <x:c r="G170" s="10" t="n">
        <x:v>153</x:v>
      </x:c>
      <x:c r="H170" s="14" t="n">
        <x:v>14.26</x:v>
      </x:c>
      <x:c r="I170" s="14" t="n">
        <x:f>G170*H170</x:f>
        <x:v>2181.7799999999997</x:v>
      </x:c>
      <x:c r="J170" s="16" t="n">
        <x:f>IFERROR(F170/E170,0)</x:f>
        <x:v>0.9310344827586207</x:v>
      </x:c>
      <x:c r="K170" s="10" t="str">
        <x:f>IF(J170&lt;0.90,"Stockout","Healthy")</x:f>
        <x:v>Healthy</x:v>
      </x:c>
    </x:row>
    <x:row r="171">
      <x:c r="A171" s="12" t="n">
        <x:v>46082</x:v>
      </x:c>
      <x:c r="B171" s="10" t="str">
        <x:v>Store 501</x:v>
      </x:c>
      <x:c r="C171" s="10" t="str">
        <x:v>South</x:v>
      </x:c>
      <x:c r="D171" s="10" t="str">
        <x:v>Cold &amp; Cough</x:v>
      </x:c>
      <x:c r="E171" s="10" t="n">
        <x:v>48</x:v>
      </x:c>
      <x:c r="F171" s="10" t="n">
        <x:v>45</x:v>
      </x:c>
      <x:c r="G171" s="10" t="n">
        <x:v>114</x:v>
      </x:c>
      <x:c r="H171" s="14" t="n">
        <x:v>14.23</x:v>
      </x:c>
      <x:c r="I171" s="14" t="n">
        <x:f>G171*H171</x:f>
        <x:v>1622.22</x:v>
      </x:c>
      <x:c r="J171" s="16" t="n">
        <x:f>IFERROR(F171/E171,0)</x:f>
        <x:v>0.9375</x:v>
      </x:c>
      <x:c r="K171" s="10" t="str">
        <x:f>IF(J171&lt;0.90,"Stockout","Healthy")</x:f>
        <x:v>Healthy</x:v>
      </x:c>
    </x:row>
    <x:row r="172">
      <x:c r="A172" s="12" t="n">
        <x:v>46082</x:v>
      </x:c>
      <x:c r="B172" s="10" t="str">
        <x:v>Store 501</x:v>
      </x:c>
      <x:c r="C172" s="10" t="str">
        <x:v>South</x:v>
      </x:c>
      <x:c r="D172" s="10" t="str">
        <x:v>Digestive Care</x:v>
      </x:c>
      <x:c r="E172" s="10" t="n">
        <x:v>56</x:v>
      </x:c>
      <x:c r="F172" s="10" t="n">
        <x:v>52</x:v>
      </x:c>
      <x:c r="G172" s="10" t="n">
        <x:v>161</x:v>
      </x:c>
      <x:c r="H172" s="14" t="n">
        <x:v>17.66</x:v>
      </x:c>
      <x:c r="I172" s="14" t="n">
        <x:f>G172*H172</x:f>
        <x:v>2843.26</x:v>
      </x:c>
      <x:c r="J172" s="16" t="n">
        <x:f>IFERROR(F172/E172,0)</x:f>
        <x:v>0.9285714285714286</x:v>
      </x:c>
      <x:c r="K172" s="10" t="str">
        <x:f>IF(J172&lt;0.90,"Stockout","Healthy")</x:f>
        <x:v>Healthy</x:v>
      </x:c>
    </x:row>
    <x:row r="173">
      <x:c r="A173" s="12" t="n">
        <x:v>46082</x:v>
      </x:c>
      <x:c r="B173" s="10" t="str">
        <x:v>Store 501</x:v>
      </x:c>
      <x:c r="C173" s="10" t="str">
        <x:v>South</x:v>
      </x:c>
      <x:c r="D173" s="10" t="str">
        <x:v>First Aid</x:v>
      </x:c>
      <x:c r="E173" s="10" t="n">
        <x:v>51</x:v>
      </x:c>
      <x:c r="F173" s="10" t="n">
        <x:v>45</x:v>
      </x:c>
      <x:c r="G173" s="10" t="n">
        <x:v>119</x:v>
      </x:c>
      <x:c r="H173" s="14" t="n">
        <x:v>10.11</x:v>
      </x:c>
      <x:c r="I173" s="14" t="n">
        <x:f>G173*H173</x:f>
        <x:v>1203.09</x:v>
      </x:c>
      <x:c r="J173" s="16" t="n">
        <x:f>IFERROR(F173/E173,0)</x:f>
        <x:v>0.8823529411764706</x:v>
      </x:c>
      <x:c r="K173" s="10" t="str">
        <x:f>IF(J173&lt;0.90,"Stockout","Healthy")</x:f>
        <x:v>Stockout</x:v>
      </x:c>
    </x:row>
    <x:row r="174">
      <x:c r="A174" s="12" t="n">
        <x:v>46082</x:v>
      </x:c>
      <x:c r="B174" s="10" t="str">
        <x:v>Store 501</x:v>
      </x:c>
      <x:c r="C174" s="10" t="str">
        <x:v>South</x:v>
      </x:c>
      <x:c r="D174" s="10" t="str">
        <x:v>Vitamins</x:v>
      </x:c>
      <x:c r="E174" s="10" t="n">
        <x:v>44</x:v>
      </x:c>
      <x:c r="F174" s="10" t="n">
        <x:v>40</x:v>
      </x:c>
      <x:c r="G174" s="10" t="n">
        <x:v>146</x:v>
      </x:c>
      <x:c r="H174" s="14" t="n">
        <x:v>21.28</x:v>
      </x:c>
      <x:c r="I174" s="14" t="n">
        <x:f>G174*H174</x:f>
        <x:v>3106.88</x:v>
      </x:c>
      <x:c r="J174" s="16" t="n">
        <x:f>IFERROR(F174/E174,0)</x:f>
        <x:v>0.9090909090909091</x:v>
      </x:c>
      <x:c r="K174" s="10" t="str">
        <x:f>IF(J174&lt;0.90,"Stockout","Healthy")</x:f>
        <x:v>Healthy</x:v>
      </x:c>
    </x:row>
    <x:row r="175">
      <x:c r="A175" s="12" t="n">
        <x:v>46082</x:v>
      </x:c>
      <x:c r="B175" s="10" t="str">
        <x:v>Store 501</x:v>
      </x:c>
      <x:c r="C175" s="10" t="str">
        <x:v>South</x:v>
      </x:c>
      <x:c r="D175" s="10" t="str">
        <x:v>Personal Care</x:v>
      </x:c>
      <x:c r="E175" s="10" t="n">
        <x:v>41</x:v>
      </x:c>
      <x:c r="F175" s="10" t="n">
        <x:v>39</x:v>
      </x:c>
      <x:c r="G175" s="10" t="n">
        <x:v>135</x:v>
      </x:c>
      <x:c r="H175" s="14" t="n">
        <x:v>11.12</x:v>
      </x:c>
      <x:c r="I175" s="14" t="n">
        <x:f>G175*H175</x:f>
        <x:v>1501.1999999999998</x:v>
      </x:c>
      <x:c r="J175" s="16" t="n">
        <x:f>IFERROR(F175/E175,0)</x:f>
        <x:v>0.9512195121951219</x:v>
      </x:c>
      <x:c r="K175" s="10" t="str">
        <x:f>IF(J175&lt;0.90,"Stockout","Healthy")</x:f>
        <x:v>Healthy</x:v>
      </x:c>
    </x:row>
    <x:row r="176">
      <x:c r="A176" s="12" t="n">
        <x:v>46082</x:v>
      </x:c>
      <x:c r="B176" s="10" t="str">
        <x:v>Store 502</x:v>
      </x:c>
      <x:c r="C176" s="10" t="str">
        <x:v>South</x:v>
      </x:c>
      <x:c r="D176" s="10" t="str">
        <x:v>Pain Relief</x:v>
      </x:c>
      <x:c r="E176" s="10" t="n">
        <x:v>51</x:v>
      </x:c>
      <x:c r="F176" s="10" t="n">
        <x:v>50</x:v>
      </x:c>
      <x:c r="G176" s="10" t="n">
        <x:v>116</x:v>
      </x:c>
      <x:c r="H176" s="14" t="n">
        <x:v>12.72</x:v>
      </x:c>
      <x:c r="I176" s="14" t="n">
        <x:f>G176*H176</x:f>
        <x:v>1475.52</x:v>
      </x:c>
      <x:c r="J176" s="16" t="n">
        <x:f>IFERROR(F176/E176,0)</x:f>
        <x:v>0.9803921568627451</x:v>
      </x:c>
      <x:c r="K176" s="10" t="str">
        <x:f>IF(J176&lt;0.90,"Stockout","Healthy")</x:f>
        <x:v>Healthy</x:v>
      </x:c>
    </x:row>
    <x:row r="177">
      <x:c r="A177" s="12" t="n">
        <x:v>46082</x:v>
      </x:c>
      <x:c r="B177" s="10" t="str">
        <x:v>Store 502</x:v>
      </x:c>
      <x:c r="C177" s="10" t="str">
        <x:v>South</x:v>
      </x:c>
      <x:c r="D177" s="10" t="str">
        <x:v>Cold &amp; Cough</x:v>
      </x:c>
      <x:c r="E177" s="10" t="n">
        <x:v>57</x:v>
      </x:c>
      <x:c r="F177" s="10" t="n">
        <x:v>49</x:v>
      </x:c>
      <x:c r="G177" s="10" t="n">
        <x:v>131</x:v>
      </x:c>
      <x:c r="H177" s="14" t="n">
        <x:v>16.72</x:v>
      </x:c>
      <x:c r="I177" s="14" t="n">
        <x:f>G177*H177</x:f>
        <x:v>2190.3199999999997</x:v>
      </x:c>
      <x:c r="J177" s="16" t="n">
        <x:f>IFERROR(F177/E177,0)</x:f>
        <x:v>0.8596491228070176</x:v>
      </x:c>
      <x:c r="K177" s="10" t="str">
        <x:f>IF(J177&lt;0.90,"Stockout","Healthy")</x:f>
        <x:v>Stockout</x:v>
      </x:c>
    </x:row>
    <x:row r="178">
      <x:c r="A178" s="12" t="n">
        <x:v>46082</x:v>
      </x:c>
      <x:c r="B178" s="10" t="str">
        <x:v>Store 502</x:v>
      </x:c>
      <x:c r="C178" s="10" t="str">
        <x:v>South</x:v>
      </x:c>
      <x:c r="D178" s="10" t="str">
        <x:v>Digestive Care</x:v>
      </x:c>
      <x:c r="E178" s="10" t="n">
        <x:v>50</x:v>
      </x:c>
      <x:c r="F178" s="10" t="n">
        <x:v>41</x:v>
      </x:c>
      <x:c r="G178" s="10" t="n">
        <x:v>87</x:v>
      </x:c>
      <x:c r="H178" s="14" t="n">
        <x:v>19.5</x:v>
      </x:c>
      <x:c r="I178" s="14" t="n">
        <x:f>G178*H178</x:f>
        <x:v>1696.5</x:v>
      </x:c>
      <x:c r="J178" s="16" t="n">
        <x:f>IFERROR(F178/E178,0)</x:f>
        <x:v>0.82</x:v>
      </x:c>
      <x:c r="K178" s="10" t="str">
        <x:f>IF(J178&lt;0.90,"Stockout","Healthy")</x:f>
        <x:v>Stockout</x:v>
      </x:c>
    </x:row>
    <x:row r="179">
      <x:c r="A179" s="12" t="n">
        <x:v>46082</x:v>
      </x:c>
      <x:c r="B179" s="10" t="str">
        <x:v>Store 502</x:v>
      </x:c>
      <x:c r="C179" s="10" t="str">
        <x:v>South</x:v>
      </x:c>
      <x:c r="D179" s="10" t="str">
        <x:v>First Aid</x:v>
      </x:c>
      <x:c r="E179" s="10" t="n">
        <x:v>43</x:v>
      </x:c>
      <x:c r="F179" s="10" t="n">
        <x:v>40</x:v>
      </x:c>
      <x:c r="G179" s="10" t="n">
        <x:v>143</x:v>
      </x:c>
      <x:c r="H179" s="14" t="n">
        <x:v>8.58</x:v>
      </x:c>
      <x:c r="I179" s="14" t="n">
        <x:f>G179*H179</x:f>
        <x:v>1226.94</x:v>
      </x:c>
      <x:c r="J179" s="16" t="n">
        <x:f>IFERROR(F179/E179,0)</x:f>
        <x:v>0.9302325581395349</x:v>
      </x:c>
      <x:c r="K179" s="10" t="str">
        <x:f>IF(J179&lt;0.90,"Stockout","Healthy")</x:f>
        <x:v>Healthy</x:v>
      </x:c>
    </x:row>
    <x:row r="180">
      <x:c r="A180" s="12" t="n">
        <x:v>46082</x:v>
      </x:c>
      <x:c r="B180" s="10" t="str">
        <x:v>Store 502</x:v>
      </x:c>
      <x:c r="C180" s="10" t="str">
        <x:v>South</x:v>
      </x:c>
      <x:c r="D180" s="10" t="str">
        <x:v>Vitamins</x:v>
      </x:c>
      <x:c r="E180" s="10" t="n">
        <x:v>51</x:v>
      </x:c>
      <x:c r="F180" s="10" t="n">
        <x:v>48</x:v>
      </x:c>
      <x:c r="G180" s="10" t="n">
        <x:v>133</x:v>
      </x:c>
      <x:c r="H180" s="14" t="n">
        <x:v>20.06</x:v>
      </x:c>
      <x:c r="I180" s="14" t="n">
        <x:f>G180*H180</x:f>
        <x:v>2667.98</x:v>
      </x:c>
      <x:c r="J180" s="16" t="n">
        <x:f>IFERROR(F180/E180,0)</x:f>
        <x:v>0.9411764705882353</x:v>
      </x:c>
      <x:c r="K180" s="10" t="str">
        <x:f>IF(J180&lt;0.90,"Stockout","Healthy")</x:f>
        <x:v>Healthy</x:v>
      </x:c>
    </x:row>
    <x:row r="181">
      <x:c r="A181" s="12" t="n">
        <x:v>46082</x:v>
      </x:c>
      <x:c r="B181" s="10" t="str">
        <x:v>Store 502</x:v>
      </x:c>
      <x:c r="C181" s="10" t="str">
        <x:v>South</x:v>
      </x:c>
      <x:c r="D181" s="10" t="str">
        <x:v>Personal Care</x:v>
      </x:c>
      <x:c r="E181" s="10" t="n">
        <x:v>43</x:v>
      </x:c>
      <x:c r="F181" s="10" t="n">
        <x:v>40</x:v>
      </x:c>
      <x:c r="G181" s="10" t="n">
        <x:v>115</x:v>
      </x:c>
      <x:c r="H181" s="14" t="n">
        <x:v>13.09</x:v>
      </x:c>
      <x:c r="I181" s="14" t="n">
        <x:f>G181*H181</x:f>
        <x:v>1505.35</x:v>
      </x:c>
      <x:c r="J181" s="16" t="n">
        <x:f>IFERROR(F181/E181,0)</x:f>
        <x:v>0.9302325581395349</x:v>
      </x:c>
      <x:c r="K181" s="10" t="str">
        <x:f>IF(J181&lt;0.90,"Stockout","Healthy")</x:f>
        <x:v>Healthy</x:v>
      </x:c>
    </x:row>
    <x:row r="182">
      <x:c r="A182" s="12" t="n">
        <x:v>46113</x:v>
      </x:c>
      <x:c r="B182" s="10" t="str">
        <x:v>Store 101</x:v>
      </x:c>
      <x:c r="C182" s="10" t="str">
        <x:v>Central</x:v>
      </x:c>
      <x:c r="D182" s="10" t="str">
        <x:v>Pain Relief</x:v>
      </x:c>
      <x:c r="E182" s="10" t="n">
        <x:v>49</x:v>
      </x:c>
      <x:c r="F182" s="10" t="n">
        <x:v>46</x:v>
      </x:c>
      <x:c r="G182" s="10" t="n">
        <x:v>128</x:v>
      </x:c>
      <x:c r="H182" s="14" t="n">
        <x:v>12.99</x:v>
      </x:c>
      <x:c r="I182" s="14" t="n">
        <x:f>G182*H182</x:f>
        <x:v>1662.72</x:v>
      </x:c>
      <x:c r="J182" s="16" t="n">
        <x:f>IFERROR(F182/E182,0)</x:f>
        <x:v>0.9387755102040817</x:v>
      </x:c>
      <x:c r="K182" s="10" t="str">
        <x:f>IF(J182&lt;0.90,"Stockout","Healthy")</x:f>
        <x:v>Healthy</x:v>
      </x:c>
    </x:row>
    <x:row r="183">
      <x:c r="A183" s="12" t="n">
        <x:v>46113</x:v>
      </x:c>
      <x:c r="B183" s="10" t="str">
        <x:v>Store 101</x:v>
      </x:c>
      <x:c r="C183" s="10" t="str">
        <x:v>Central</x:v>
      </x:c>
      <x:c r="D183" s="10" t="str">
        <x:v>Cold &amp; Cough</x:v>
      </x:c>
      <x:c r="E183" s="10" t="n">
        <x:v>49</x:v>
      </x:c>
      <x:c r="F183" s="10" t="n">
        <x:v>45</x:v>
      </x:c>
      <x:c r="G183" s="10" t="n">
        <x:v>131</x:v>
      </x:c>
      <x:c r="H183" s="14" t="n">
        <x:v>13.67</x:v>
      </x:c>
      <x:c r="I183" s="14" t="n">
        <x:f>G183*H183</x:f>
        <x:v>1790.77</x:v>
      </x:c>
      <x:c r="J183" s="16" t="n">
        <x:f>IFERROR(F183/E183,0)</x:f>
        <x:v>0.9183673469387755</x:v>
      </x:c>
      <x:c r="K183" s="10" t="str">
        <x:f>IF(J183&lt;0.90,"Stockout","Healthy")</x:f>
        <x:v>Healthy</x:v>
      </x:c>
    </x:row>
    <x:row r="184">
      <x:c r="A184" s="12" t="n">
        <x:v>46113</x:v>
      </x:c>
      <x:c r="B184" s="10" t="str">
        <x:v>Store 101</x:v>
      </x:c>
      <x:c r="C184" s="10" t="str">
        <x:v>Central</x:v>
      </x:c>
      <x:c r="D184" s="10" t="str">
        <x:v>Digestive Care</x:v>
      </x:c>
      <x:c r="E184" s="10" t="n">
        <x:v>49</x:v>
      </x:c>
      <x:c r="F184" s="10" t="n">
        <x:v>47</x:v>
      </x:c>
      <x:c r="G184" s="10" t="n">
        <x:v>132</x:v>
      </x:c>
      <x:c r="H184" s="14" t="n">
        <x:v>18.15</x:v>
      </x:c>
      <x:c r="I184" s="14" t="n">
        <x:f>G184*H184</x:f>
        <x:v>2395.7999999999997</x:v>
      </x:c>
      <x:c r="J184" s="16" t="n">
        <x:f>IFERROR(F184/E184,0)</x:f>
        <x:v>0.9591836734693877</x:v>
      </x:c>
      <x:c r="K184" s="10" t="str">
        <x:f>IF(J184&lt;0.90,"Stockout","Healthy")</x:f>
        <x:v>Healthy</x:v>
      </x:c>
    </x:row>
    <x:row r="185">
      <x:c r="A185" s="12" t="n">
        <x:v>46113</x:v>
      </x:c>
      <x:c r="B185" s="10" t="str">
        <x:v>Store 101</x:v>
      </x:c>
      <x:c r="C185" s="10" t="str">
        <x:v>Central</x:v>
      </x:c>
      <x:c r="D185" s="10" t="str">
        <x:v>First Aid</x:v>
      </x:c>
      <x:c r="E185" s="10" t="n">
        <x:v>52</x:v>
      </x:c>
      <x:c r="F185" s="10" t="n">
        <x:v>48</x:v>
      </x:c>
      <x:c r="G185" s="10" t="n">
        <x:v>119</x:v>
      </x:c>
      <x:c r="H185" s="14" t="n">
        <x:v>8.86</x:v>
      </x:c>
      <x:c r="I185" s="14" t="n">
        <x:f>G185*H185</x:f>
        <x:v>1054.34</x:v>
      </x:c>
      <x:c r="J185" s="16" t="n">
        <x:f>IFERROR(F185/E185,0)</x:f>
        <x:v>0.9230769230769231</x:v>
      </x:c>
      <x:c r="K185" s="10" t="str">
        <x:f>IF(J185&lt;0.90,"Stockout","Healthy")</x:f>
        <x:v>Healthy</x:v>
      </x:c>
    </x:row>
    <x:row r="186">
      <x:c r="A186" s="12" t="n">
        <x:v>46113</x:v>
      </x:c>
      <x:c r="B186" s="10" t="str">
        <x:v>Store 101</x:v>
      </x:c>
      <x:c r="C186" s="10" t="str">
        <x:v>Central</x:v>
      </x:c>
      <x:c r="D186" s="10" t="str">
        <x:v>Vitamins</x:v>
      </x:c>
      <x:c r="E186" s="10" t="n">
        <x:v>52</x:v>
      </x:c>
      <x:c r="F186" s="10" t="n">
        <x:v>50</x:v>
      </x:c>
      <x:c r="G186" s="10" t="n">
        <x:v>122</x:v>
      </x:c>
      <x:c r="H186" s="14" t="n">
        <x:v>21</x:v>
      </x:c>
      <x:c r="I186" s="14" t="n">
        <x:f>G186*H186</x:f>
        <x:v>2562</x:v>
      </x:c>
      <x:c r="J186" s="16" t="n">
        <x:f>IFERROR(F186/E186,0)</x:f>
        <x:v>0.9615384615384616</x:v>
      </x:c>
      <x:c r="K186" s="10" t="str">
        <x:f>IF(J186&lt;0.90,"Stockout","Healthy")</x:f>
        <x:v>Healthy</x:v>
      </x:c>
    </x:row>
    <x:row r="187">
      <x:c r="A187" s="12" t="n">
        <x:v>46113</x:v>
      </x:c>
      <x:c r="B187" s="10" t="str">
        <x:v>Store 101</x:v>
      </x:c>
      <x:c r="C187" s="10" t="str">
        <x:v>Central</x:v>
      </x:c>
      <x:c r="D187" s="10" t="str">
        <x:v>Personal Care</x:v>
      </x:c>
      <x:c r="E187" s="10" t="n">
        <x:v>51</x:v>
      </x:c>
      <x:c r="F187" s="10" t="n">
        <x:v>48</x:v>
      </x:c>
      <x:c r="G187" s="10" t="n">
        <x:v>91</x:v>
      </x:c>
      <x:c r="H187" s="14" t="n">
        <x:v>12.89</x:v>
      </x:c>
      <x:c r="I187" s="14" t="n">
        <x:f>G187*H187</x:f>
        <x:v>1172.99</x:v>
      </x:c>
      <x:c r="J187" s="16" t="n">
        <x:f>IFERROR(F187/E187,0)</x:f>
        <x:v>0.9411764705882353</x:v>
      </x:c>
      <x:c r="K187" s="10" t="str">
        <x:f>IF(J187&lt;0.90,"Stockout","Healthy")</x:f>
        <x:v>Healthy</x:v>
      </x:c>
    </x:row>
    <x:row r="188">
      <x:c r="A188" s="12" t="n">
        <x:v>46113</x:v>
      </x:c>
      <x:c r="B188" s="10" t="str">
        <x:v>Store 102</x:v>
      </x:c>
      <x:c r="C188" s="10" t="str">
        <x:v>Central</x:v>
      </x:c>
      <x:c r="D188" s="10" t="str">
        <x:v>Pain Relief</x:v>
      </x:c>
      <x:c r="E188" s="10" t="n">
        <x:v>41</x:v>
      </x:c>
      <x:c r="F188" s="10" t="n">
        <x:v>39</x:v>
      </x:c>
      <x:c r="G188" s="10" t="n">
        <x:v>105</x:v>
      </x:c>
      <x:c r="H188" s="14" t="n">
        <x:v>14.85</x:v>
      </x:c>
      <x:c r="I188" s="14" t="n">
        <x:f>G188*H188</x:f>
        <x:v>1559.25</x:v>
      </x:c>
      <x:c r="J188" s="16" t="n">
        <x:f>IFERROR(F188/E188,0)</x:f>
        <x:v>0.9512195121951219</x:v>
      </x:c>
      <x:c r="K188" s="10" t="str">
        <x:f>IF(J188&lt;0.90,"Stockout","Healthy")</x:f>
        <x:v>Healthy</x:v>
      </x:c>
    </x:row>
    <x:row r="189">
      <x:c r="A189" s="12" t="n">
        <x:v>46113</x:v>
      </x:c>
      <x:c r="B189" s="10" t="str">
        <x:v>Store 102</x:v>
      </x:c>
      <x:c r="C189" s="10" t="str">
        <x:v>Central</x:v>
      </x:c>
      <x:c r="D189" s="10" t="str">
        <x:v>Cold &amp; Cough</x:v>
      </x:c>
      <x:c r="E189" s="10" t="n">
        <x:v>43</x:v>
      </x:c>
      <x:c r="F189" s="10" t="n">
        <x:v>43</x:v>
      </x:c>
      <x:c r="G189" s="10" t="n">
        <x:v>70</x:v>
      </x:c>
      <x:c r="H189" s="14" t="n">
        <x:v>14.51</x:v>
      </x:c>
      <x:c r="I189" s="14" t="n">
        <x:f>G189*H189</x:f>
        <x:v>1015.6999999999999</x:v>
      </x:c>
      <x:c r="J189" s="16" t="n">
        <x:f>IFERROR(F189/E189,0)</x:f>
        <x:v>1</x:v>
      </x:c>
      <x:c r="K189" s="10" t="str">
        <x:f>IF(J189&lt;0.90,"Stockout","Healthy")</x:f>
        <x:v>Healthy</x:v>
      </x:c>
    </x:row>
    <x:row r="190">
      <x:c r="A190" s="12" t="n">
        <x:v>46113</x:v>
      </x:c>
      <x:c r="B190" s="10" t="str">
        <x:v>Store 102</x:v>
      </x:c>
      <x:c r="C190" s="10" t="str">
        <x:v>Central</x:v>
      </x:c>
      <x:c r="D190" s="10" t="str">
        <x:v>Digestive Care</x:v>
      </x:c>
      <x:c r="E190" s="10" t="n">
        <x:v>53</x:v>
      </x:c>
      <x:c r="F190" s="10" t="n">
        <x:v>52</x:v>
      </x:c>
      <x:c r="G190" s="10" t="n">
        <x:v>152</x:v>
      </x:c>
      <x:c r="H190" s="14" t="n">
        <x:v>16.59</x:v>
      </x:c>
      <x:c r="I190" s="14" t="n">
        <x:f>G190*H190</x:f>
        <x:v>2521.68</x:v>
      </x:c>
      <x:c r="J190" s="16" t="n">
        <x:f>IFERROR(F190/E190,0)</x:f>
        <x:v>0.9811320754716981</x:v>
      </x:c>
      <x:c r="K190" s="10" t="str">
        <x:f>IF(J190&lt;0.90,"Stockout","Healthy")</x:f>
        <x:v>Healthy</x:v>
      </x:c>
    </x:row>
    <x:row r="191">
      <x:c r="A191" s="12" t="n">
        <x:v>46113</x:v>
      </x:c>
      <x:c r="B191" s="10" t="str">
        <x:v>Store 102</x:v>
      </x:c>
      <x:c r="C191" s="10" t="str">
        <x:v>Central</x:v>
      </x:c>
      <x:c r="D191" s="10" t="str">
        <x:v>First Aid</x:v>
      </x:c>
      <x:c r="E191" s="10" t="n">
        <x:v>58</x:v>
      </x:c>
      <x:c r="F191" s="10" t="n">
        <x:v>55</x:v>
      </x:c>
      <x:c r="G191" s="10" t="n">
        <x:v>145</x:v>
      </x:c>
      <x:c r="H191" s="14" t="n">
        <x:v>9.93</x:v>
      </x:c>
      <x:c r="I191" s="14" t="n">
        <x:f>G191*H191</x:f>
        <x:v>1439.85</x:v>
      </x:c>
      <x:c r="J191" s="16" t="n">
        <x:f>IFERROR(F191/E191,0)</x:f>
        <x:v>0.9482758620689655</x:v>
      </x:c>
      <x:c r="K191" s="10" t="str">
        <x:f>IF(J191&lt;0.90,"Stockout","Healthy")</x:f>
        <x:v>Healthy</x:v>
      </x:c>
    </x:row>
    <x:row r="192">
      <x:c r="A192" s="12" t="n">
        <x:v>46113</x:v>
      </x:c>
      <x:c r="B192" s="10" t="str">
        <x:v>Store 102</x:v>
      </x:c>
      <x:c r="C192" s="10" t="str">
        <x:v>Central</x:v>
      </x:c>
      <x:c r="D192" s="10" t="str">
        <x:v>Vitamins</x:v>
      </x:c>
      <x:c r="E192" s="10" t="n">
        <x:v>39</x:v>
      </x:c>
      <x:c r="F192" s="10" t="n">
        <x:v>37</x:v>
      </x:c>
      <x:c r="G192" s="10" t="n">
        <x:v>160</x:v>
      </x:c>
      <x:c r="H192" s="14" t="n">
        <x:v>20.56</x:v>
      </x:c>
      <x:c r="I192" s="14" t="n">
        <x:f>G192*H192</x:f>
        <x:v>3289.6</x:v>
      </x:c>
      <x:c r="J192" s="16" t="n">
        <x:f>IFERROR(F192/E192,0)</x:f>
        <x:v>0.9487179487179487</x:v>
      </x:c>
      <x:c r="K192" s="10" t="str">
        <x:f>IF(J192&lt;0.90,"Stockout","Healthy")</x:f>
        <x:v>Healthy</x:v>
      </x:c>
    </x:row>
    <x:row r="193">
      <x:c r="A193" s="12" t="n">
        <x:v>46113</x:v>
      </x:c>
      <x:c r="B193" s="10" t="str">
        <x:v>Store 102</x:v>
      </x:c>
      <x:c r="C193" s="10" t="str">
        <x:v>Central</x:v>
      </x:c>
      <x:c r="D193" s="10" t="str">
        <x:v>Personal Care</x:v>
      </x:c>
      <x:c r="E193" s="10" t="n">
        <x:v>47</x:v>
      </x:c>
      <x:c r="F193" s="10" t="n">
        <x:v>41</x:v>
      </x:c>
      <x:c r="G193" s="10" t="n">
        <x:v>139</x:v>
      </x:c>
      <x:c r="H193" s="14" t="n">
        <x:v>11.57</x:v>
      </x:c>
      <x:c r="I193" s="14" t="n">
        <x:f>G193*H193</x:f>
        <x:v>1608.23</x:v>
      </x:c>
      <x:c r="J193" s="16" t="n">
        <x:f>IFERROR(F193/E193,0)</x:f>
        <x:v>0.8723404255319149</x:v>
      </x:c>
      <x:c r="K193" s="10" t="str">
        <x:f>IF(J193&lt;0.90,"Stockout","Healthy")</x:f>
        <x:v>Stockout</x:v>
      </x:c>
    </x:row>
    <x:row r="194">
      <x:c r="A194" s="12" t="n">
        <x:v>46113</x:v>
      </x:c>
      <x:c r="B194" s="10" t="str">
        <x:v>Store 201</x:v>
      </x:c>
      <x:c r="C194" s="10" t="str">
        <x:v>East</x:v>
      </x:c>
      <x:c r="D194" s="10" t="str">
        <x:v>Pain Relief</x:v>
      </x:c>
      <x:c r="E194" s="10" t="n">
        <x:v>41</x:v>
      </x:c>
      <x:c r="F194" s="10" t="n">
        <x:v>38</x:v>
      </x:c>
      <x:c r="G194" s="10" t="n">
        <x:v>152</x:v>
      </x:c>
      <x:c r="H194" s="14" t="n">
        <x:v>14.7</x:v>
      </x:c>
      <x:c r="I194" s="14" t="n">
        <x:f>G194*H194</x:f>
        <x:v>2234.4</x:v>
      </x:c>
      <x:c r="J194" s="16" t="n">
        <x:f>IFERROR(F194/E194,0)</x:f>
        <x:v>0.926829268292683</x:v>
      </x:c>
      <x:c r="K194" s="10" t="str">
        <x:f>IF(J194&lt;0.90,"Stockout","Healthy")</x:f>
        <x:v>Healthy</x:v>
      </x:c>
    </x:row>
    <x:row r="195">
      <x:c r="A195" s="12" t="n">
        <x:v>46113</x:v>
      </x:c>
      <x:c r="B195" s="10" t="str">
        <x:v>Store 201</x:v>
      </x:c>
      <x:c r="C195" s="10" t="str">
        <x:v>East</x:v>
      </x:c>
      <x:c r="D195" s="10" t="str">
        <x:v>Cold &amp; Cough</x:v>
      </x:c>
      <x:c r="E195" s="10" t="n">
        <x:v>36</x:v>
      </x:c>
      <x:c r="F195" s="10" t="n">
        <x:v>32</x:v>
      </x:c>
      <x:c r="G195" s="10" t="n">
        <x:v>80</x:v>
      </x:c>
      <x:c r="H195" s="14" t="n">
        <x:v>16.1</x:v>
      </x:c>
      <x:c r="I195" s="14" t="n">
        <x:f>G195*H195</x:f>
        <x:v>1288</x:v>
      </x:c>
      <x:c r="J195" s="16" t="n">
        <x:f>IFERROR(F195/E195,0)</x:f>
        <x:v>0.8888888888888888</x:v>
      </x:c>
      <x:c r="K195" s="10" t="str">
        <x:f>IF(J195&lt;0.90,"Stockout","Healthy")</x:f>
        <x:v>Stockout</x:v>
      </x:c>
    </x:row>
    <x:row r="196">
      <x:c r="A196" s="12" t="n">
        <x:v>46113</x:v>
      </x:c>
      <x:c r="B196" s="10" t="str">
        <x:v>Store 201</x:v>
      </x:c>
      <x:c r="C196" s="10" t="str">
        <x:v>East</x:v>
      </x:c>
      <x:c r="D196" s="10" t="str">
        <x:v>Digestive Care</x:v>
      </x:c>
      <x:c r="E196" s="10" t="n">
        <x:v>54</x:v>
      </x:c>
      <x:c r="F196" s="10" t="n">
        <x:v>47</x:v>
      </x:c>
      <x:c r="G196" s="10" t="n">
        <x:v>108</x:v>
      </x:c>
      <x:c r="H196" s="14" t="n">
        <x:v>16.98</x:v>
      </x:c>
      <x:c r="I196" s="14" t="n">
        <x:f>G196*H196</x:f>
        <x:v>1833.8400000000001</x:v>
      </x:c>
      <x:c r="J196" s="16" t="n">
        <x:f>IFERROR(F196/E196,0)</x:f>
        <x:v>0.8703703703703703</x:v>
      </x:c>
      <x:c r="K196" s="10" t="str">
        <x:f>IF(J196&lt;0.90,"Stockout","Healthy")</x:f>
        <x:v>Stockout</x:v>
      </x:c>
    </x:row>
    <x:row r="197">
      <x:c r="A197" s="12" t="n">
        <x:v>46113</x:v>
      </x:c>
      <x:c r="B197" s="10" t="str">
        <x:v>Store 201</x:v>
      </x:c>
      <x:c r="C197" s="10" t="str">
        <x:v>East</x:v>
      </x:c>
      <x:c r="D197" s="10" t="str">
        <x:v>First Aid</x:v>
      </x:c>
      <x:c r="E197" s="10" t="n">
        <x:v>37</x:v>
      </x:c>
      <x:c r="F197" s="10" t="n">
        <x:v>32</x:v>
      </x:c>
      <x:c r="G197" s="10" t="n">
        <x:v>122</x:v>
      </x:c>
      <x:c r="H197" s="14" t="n">
        <x:v>10.45</x:v>
      </x:c>
      <x:c r="I197" s="14" t="n">
        <x:f>G197*H197</x:f>
        <x:v>1274.8999999999999</x:v>
      </x:c>
      <x:c r="J197" s="16" t="n">
        <x:f>IFERROR(F197/E197,0)</x:f>
        <x:v>0.8648648648648649</x:v>
      </x:c>
      <x:c r="K197" s="10" t="str">
        <x:f>IF(J197&lt;0.90,"Stockout","Healthy")</x:f>
        <x:v>Stockout</x:v>
      </x:c>
    </x:row>
    <x:row r="198">
      <x:c r="A198" s="12" t="n">
        <x:v>46113</x:v>
      </x:c>
      <x:c r="B198" s="10" t="str">
        <x:v>Store 201</x:v>
      </x:c>
      <x:c r="C198" s="10" t="str">
        <x:v>East</x:v>
      </x:c>
      <x:c r="D198" s="10" t="str">
        <x:v>Vitamins</x:v>
      </x:c>
      <x:c r="E198" s="10" t="n">
        <x:v>60</x:v>
      </x:c>
      <x:c r="F198" s="10" t="n">
        <x:v>57</x:v>
      </x:c>
      <x:c r="G198" s="10" t="n">
        <x:v>139</x:v>
      </x:c>
      <x:c r="H198" s="14" t="n">
        <x:v>23.64</x:v>
      </x:c>
      <x:c r="I198" s="14" t="n">
        <x:f>G198*H198</x:f>
        <x:v>3285.96</x:v>
      </x:c>
      <x:c r="J198" s="16" t="n">
        <x:f>IFERROR(F198/E198,0)</x:f>
        <x:v>0.95</x:v>
      </x:c>
      <x:c r="K198" s="10" t="str">
        <x:f>IF(J198&lt;0.90,"Stockout","Healthy")</x:f>
        <x:v>Healthy</x:v>
      </x:c>
    </x:row>
    <x:row r="199">
      <x:c r="A199" s="12" t="n">
        <x:v>46113</x:v>
      </x:c>
      <x:c r="B199" s="10" t="str">
        <x:v>Store 201</x:v>
      </x:c>
      <x:c r="C199" s="10" t="str">
        <x:v>East</x:v>
      </x:c>
      <x:c r="D199" s="10" t="str">
        <x:v>Personal Care</x:v>
      </x:c>
      <x:c r="E199" s="10" t="n">
        <x:v>53</x:v>
      </x:c>
      <x:c r="F199" s="10" t="n">
        <x:v>50</x:v>
      </x:c>
      <x:c r="G199" s="10" t="n">
        <x:v>99</x:v>
      </x:c>
      <x:c r="H199" s="14" t="n">
        <x:v>11.56</x:v>
      </x:c>
      <x:c r="I199" s="14" t="n">
        <x:f>G199*H199</x:f>
        <x:v>1144.44</x:v>
      </x:c>
      <x:c r="J199" s="16" t="n">
        <x:f>IFERROR(F199/E199,0)</x:f>
        <x:v>0.9433962264150944</x:v>
      </x:c>
      <x:c r="K199" s="10" t="str">
        <x:f>IF(J199&lt;0.90,"Stockout","Healthy")</x:f>
        <x:v>Healthy</x:v>
      </x:c>
    </x:row>
    <x:row r="200">
      <x:c r="A200" s="12" t="n">
        <x:v>46113</x:v>
      </x:c>
      <x:c r="B200" s="10" t="str">
        <x:v>Store 202</x:v>
      </x:c>
      <x:c r="C200" s="10" t="str">
        <x:v>East</x:v>
      </x:c>
      <x:c r="D200" s="10" t="str">
        <x:v>Pain Relief</x:v>
      </x:c>
      <x:c r="E200" s="10" t="n">
        <x:v>37</x:v>
      </x:c>
      <x:c r="F200" s="10" t="n">
        <x:v>33</x:v>
      </x:c>
      <x:c r="G200" s="10" t="n">
        <x:v>139</x:v>
      </x:c>
      <x:c r="H200" s="14" t="n">
        <x:v>13.35</x:v>
      </x:c>
      <x:c r="I200" s="14" t="n">
        <x:f>G200*H200</x:f>
        <x:v>1855.6499999999999</x:v>
      </x:c>
      <x:c r="J200" s="16" t="n">
        <x:f>IFERROR(F200/E200,0)</x:f>
        <x:v>0.8918918918918919</x:v>
      </x:c>
      <x:c r="K200" s="10" t="str">
        <x:f>IF(J200&lt;0.90,"Stockout","Healthy")</x:f>
        <x:v>Stockout</x:v>
      </x:c>
    </x:row>
    <x:row r="201">
      <x:c r="A201" s="12" t="n">
        <x:v>46113</x:v>
      </x:c>
      <x:c r="B201" s="10" t="str">
        <x:v>Store 202</x:v>
      </x:c>
      <x:c r="C201" s="10" t="str">
        <x:v>East</x:v>
      </x:c>
      <x:c r="D201" s="10" t="str">
        <x:v>Cold &amp; Cough</x:v>
      </x:c>
      <x:c r="E201" s="10" t="n">
        <x:v>42</x:v>
      </x:c>
      <x:c r="F201" s="10" t="n">
        <x:v>37</x:v>
      </x:c>
      <x:c r="G201" s="10" t="n">
        <x:v>135</x:v>
      </x:c>
      <x:c r="H201" s="14" t="n">
        <x:v>13.77</x:v>
      </x:c>
      <x:c r="I201" s="14" t="n">
        <x:f>G201*H201</x:f>
        <x:v>1858.95</x:v>
      </x:c>
      <x:c r="J201" s="16" t="n">
        <x:f>IFERROR(F201/E201,0)</x:f>
        <x:v>0.8809523809523809</x:v>
      </x:c>
      <x:c r="K201" s="10" t="str">
        <x:f>IF(J201&lt;0.90,"Stockout","Healthy")</x:f>
        <x:v>Stockout</x:v>
      </x:c>
    </x:row>
    <x:row r="202">
      <x:c r="A202" s="12" t="n">
        <x:v>46113</x:v>
      </x:c>
      <x:c r="B202" s="10" t="str">
        <x:v>Store 202</x:v>
      </x:c>
      <x:c r="C202" s="10" t="str">
        <x:v>East</x:v>
      </x:c>
      <x:c r="D202" s="10" t="str">
        <x:v>Digestive Care</x:v>
      </x:c>
      <x:c r="E202" s="10" t="n">
        <x:v>35</x:v>
      </x:c>
      <x:c r="F202" s="10" t="n">
        <x:v>35</x:v>
      </x:c>
      <x:c r="G202" s="10" t="n">
        <x:v>109</x:v>
      </x:c>
      <x:c r="H202" s="14" t="n">
        <x:v>18.59</x:v>
      </x:c>
      <x:c r="I202" s="14" t="n">
        <x:f>G202*H202</x:f>
        <x:v>2026.31</x:v>
      </x:c>
      <x:c r="J202" s="16" t="n">
        <x:f>IFERROR(F202/E202,0)</x:f>
        <x:v>1</x:v>
      </x:c>
      <x:c r="K202" s="10" t="str">
        <x:f>IF(J202&lt;0.90,"Stockout","Healthy")</x:f>
        <x:v>Healthy</x:v>
      </x:c>
    </x:row>
    <x:row r="203">
      <x:c r="A203" s="12" t="n">
        <x:v>46113</x:v>
      </x:c>
      <x:c r="B203" s="10" t="str">
        <x:v>Store 202</x:v>
      </x:c>
      <x:c r="C203" s="10" t="str">
        <x:v>East</x:v>
      </x:c>
      <x:c r="D203" s="10" t="str">
        <x:v>First Aid</x:v>
      </x:c>
      <x:c r="E203" s="10" t="n">
        <x:v>34</x:v>
      </x:c>
      <x:c r="F203" s="10" t="n">
        <x:v>34</x:v>
      </x:c>
      <x:c r="G203" s="10" t="n">
        <x:v>170</x:v>
      </x:c>
      <x:c r="H203" s="14" t="n">
        <x:v>10.3</x:v>
      </x:c>
      <x:c r="I203" s="14" t="n">
        <x:f>G203*H203</x:f>
        <x:v>1751.0000000000002</x:v>
      </x:c>
      <x:c r="J203" s="16" t="n">
        <x:f>IFERROR(F203/E203,0)</x:f>
        <x:v>1</x:v>
      </x:c>
      <x:c r="K203" s="10" t="str">
        <x:f>IF(J203&lt;0.90,"Stockout","Healthy")</x:f>
        <x:v>Healthy</x:v>
      </x:c>
    </x:row>
    <x:row r="204">
      <x:c r="A204" s="12" t="n">
        <x:v>46113</x:v>
      </x:c>
      <x:c r="B204" s="10" t="str">
        <x:v>Store 202</x:v>
      </x:c>
      <x:c r="C204" s="10" t="str">
        <x:v>East</x:v>
      </x:c>
      <x:c r="D204" s="10" t="str">
        <x:v>Vitamins</x:v>
      </x:c>
      <x:c r="E204" s="10" t="n">
        <x:v>52</x:v>
      </x:c>
      <x:c r="F204" s="10" t="n">
        <x:v>48</x:v>
      </x:c>
      <x:c r="G204" s="10" t="n">
        <x:v>132</x:v>
      </x:c>
      <x:c r="H204" s="14" t="n">
        <x:v>23.5</x:v>
      </x:c>
      <x:c r="I204" s="14" t="n">
        <x:f>G204*H204</x:f>
        <x:v>3102</x:v>
      </x:c>
      <x:c r="J204" s="16" t="n">
        <x:f>IFERROR(F204/E204,0)</x:f>
        <x:v>0.9230769230769231</x:v>
      </x:c>
      <x:c r="K204" s="10" t="str">
        <x:f>IF(J204&lt;0.90,"Stockout","Healthy")</x:f>
        <x:v>Healthy</x:v>
      </x:c>
    </x:row>
    <x:row r="205">
      <x:c r="A205" s="12" t="n">
        <x:v>46113</x:v>
      </x:c>
      <x:c r="B205" s="10" t="str">
        <x:v>Store 202</x:v>
      </x:c>
      <x:c r="C205" s="10" t="str">
        <x:v>East</x:v>
      </x:c>
      <x:c r="D205" s="10" t="str">
        <x:v>Personal Care</x:v>
      </x:c>
      <x:c r="E205" s="10" t="n">
        <x:v>60</x:v>
      </x:c>
      <x:c r="F205" s="10" t="n">
        <x:v>56</x:v>
      </x:c>
      <x:c r="G205" s="10" t="n">
        <x:v>142</x:v>
      </x:c>
      <x:c r="H205" s="14" t="n">
        <x:v>12.8</x:v>
      </x:c>
      <x:c r="I205" s="14" t="n">
        <x:f>G205*H205</x:f>
        <x:v>1817.6000000000001</x:v>
      </x:c>
      <x:c r="J205" s="16" t="n">
        <x:f>IFERROR(F205/E205,0)</x:f>
        <x:v>0.9333333333333333</x:v>
      </x:c>
      <x:c r="K205" s="10" t="str">
        <x:f>IF(J205&lt;0.90,"Stockout","Healthy")</x:f>
        <x:v>Healthy</x:v>
      </x:c>
    </x:row>
    <x:row r="206">
      <x:c r="A206" s="12" t="n">
        <x:v>46113</x:v>
      </x:c>
      <x:c r="B206" s="10" t="str">
        <x:v>Store 301</x:v>
      </x:c>
      <x:c r="C206" s="10" t="str">
        <x:v>West</x:v>
      </x:c>
      <x:c r="D206" s="10" t="str">
        <x:v>Pain Relief</x:v>
      </x:c>
      <x:c r="E206" s="10" t="n">
        <x:v>49</x:v>
      </x:c>
      <x:c r="F206" s="10" t="n">
        <x:v>44</x:v>
      </x:c>
      <x:c r="G206" s="10" t="n">
        <x:v>113</x:v>
      </x:c>
      <x:c r="H206" s="14" t="n">
        <x:v>12.98</x:v>
      </x:c>
      <x:c r="I206" s="14" t="n">
        <x:f>G206*H206</x:f>
        <x:v>1466.74</x:v>
      </x:c>
      <x:c r="J206" s="16" t="n">
        <x:f>IFERROR(F206/E206,0)</x:f>
        <x:v>0.8979591836734694</x:v>
      </x:c>
      <x:c r="K206" s="10" t="str">
        <x:f>IF(J206&lt;0.90,"Stockout","Healthy")</x:f>
        <x:v>Stockout</x:v>
      </x:c>
    </x:row>
    <x:row r="207">
      <x:c r="A207" s="12" t="n">
        <x:v>46113</x:v>
      </x:c>
      <x:c r="B207" s="10" t="str">
        <x:v>Store 301</x:v>
      </x:c>
      <x:c r="C207" s="10" t="str">
        <x:v>West</x:v>
      </x:c>
      <x:c r="D207" s="10" t="str">
        <x:v>Cold &amp; Cough</x:v>
      </x:c>
      <x:c r="E207" s="10" t="n">
        <x:v>52</x:v>
      </x:c>
      <x:c r="F207" s="10" t="n">
        <x:v>45</x:v>
      </x:c>
      <x:c r="G207" s="10" t="n">
        <x:v>134</x:v>
      </x:c>
      <x:c r="H207" s="14" t="n">
        <x:v>16.7</x:v>
      </x:c>
      <x:c r="I207" s="14" t="n">
        <x:f>G207*H207</x:f>
        <x:v>2237.7999999999997</x:v>
      </x:c>
      <x:c r="J207" s="16" t="n">
        <x:f>IFERROR(F207/E207,0)</x:f>
        <x:v>0.8653846153846154</x:v>
      </x:c>
      <x:c r="K207" s="10" t="str">
        <x:f>IF(J207&lt;0.90,"Stockout","Healthy")</x:f>
        <x:v>Stockout</x:v>
      </x:c>
    </x:row>
    <x:row r="208">
      <x:c r="A208" s="12" t="n">
        <x:v>46113</x:v>
      </x:c>
      <x:c r="B208" s="10" t="str">
        <x:v>Store 301</x:v>
      </x:c>
      <x:c r="C208" s="10" t="str">
        <x:v>West</x:v>
      </x:c>
      <x:c r="D208" s="10" t="str">
        <x:v>Digestive Care</x:v>
      </x:c>
      <x:c r="E208" s="10" t="n">
        <x:v>49</x:v>
      </x:c>
      <x:c r="F208" s="10" t="n">
        <x:v>45</x:v>
      </x:c>
      <x:c r="G208" s="10" t="n">
        <x:v>134</x:v>
      </x:c>
      <x:c r="H208" s="14" t="n">
        <x:v>18.85</x:v>
      </x:c>
      <x:c r="I208" s="14" t="n">
        <x:f>G208*H208</x:f>
        <x:v>2525.9</x:v>
      </x:c>
      <x:c r="J208" s="16" t="n">
        <x:f>IFERROR(F208/E208,0)</x:f>
        <x:v>0.9183673469387755</x:v>
      </x:c>
      <x:c r="K208" s="10" t="str">
        <x:f>IF(J208&lt;0.90,"Stockout","Healthy")</x:f>
        <x:v>Healthy</x:v>
      </x:c>
    </x:row>
    <x:row r="209">
      <x:c r="A209" s="12" t="n">
        <x:v>46113</x:v>
      </x:c>
      <x:c r="B209" s="10" t="str">
        <x:v>Store 301</x:v>
      </x:c>
      <x:c r="C209" s="10" t="str">
        <x:v>West</x:v>
      </x:c>
      <x:c r="D209" s="10" t="str">
        <x:v>First Aid</x:v>
      </x:c>
      <x:c r="E209" s="10" t="n">
        <x:v>39</x:v>
      </x:c>
      <x:c r="F209" s="10" t="n">
        <x:v>35</x:v>
      </x:c>
      <x:c r="G209" s="10" t="n">
        <x:v>150</x:v>
      </x:c>
      <x:c r="H209" s="14" t="n">
        <x:v>9.15</x:v>
      </x:c>
      <x:c r="I209" s="14" t="n">
        <x:f>G209*H209</x:f>
        <x:v>1372.5</x:v>
      </x:c>
      <x:c r="J209" s="16" t="n">
        <x:f>IFERROR(F209/E209,0)</x:f>
        <x:v>0.8974358974358975</x:v>
      </x:c>
      <x:c r="K209" s="10" t="str">
        <x:f>IF(J209&lt;0.90,"Stockout","Healthy")</x:f>
        <x:v>Stockout</x:v>
      </x:c>
    </x:row>
    <x:row r="210">
      <x:c r="A210" s="12" t="n">
        <x:v>46113</x:v>
      </x:c>
      <x:c r="B210" s="10" t="str">
        <x:v>Store 301</x:v>
      </x:c>
      <x:c r="C210" s="10" t="str">
        <x:v>West</x:v>
      </x:c>
      <x:c r="D210" s="10" t="str">
        <x:v>Vitamins</x:v>
      </x:c>
      <x:c r="E210" s="10" t="n">
        <x:v>46</x:v>
      </x:c>
      <x:c r="F210" s="10" t="n">
        <x:v>44</x:v>
      </x:c>
      <x:c r="G210" s="10" t="n">
        <x:v>87</x:v>
      </x:c>
      <x:c r="H210" s="14" t="n">
        <x:v>22</x:v>
      </x:c>
      <x:c r="I210" s="14" t="n">
        <x:f>G210*H210</x:f>
        <x:v>1914</x:v>
      </x:c>
      <x:c r="J210" s="16" t="n">
        <x:f>IFERROR(F210/E210,0)</x:f>
        <x:v>0.9565217391304348</x:v>
      </x:c>
      <x:c r="K210" s="10" t="str">
        <x:f>IF(J210&lt;0.90,"Stockout","Healthy")</x:f>
        <x:v>Healthy</x:v>
      </x:c>
    </x:row>
    <x:row r="211">
      <x:c r="A211" s="12" t="n">
        <x:v>46113</x:v>
      </x:c>
      <x:c r="B211" s="10" t="str">
        <x:v>Store 301</x:v>
      </x:c>
      <x:c r="C211" s="10" t="str">
        <x:v>West</x:v>
      </x:c>
      <x:c r="D211" s="10" t="str">
        <x:v>Personal Care</x:v>
      </x:c>
      <x:c r="E211" s="10" t="n">
        <x:v>44</x:v>
      </x:c>
      <x:c r="F211" s="10" t="n">
        <x:v>41</x:v>
      </x:c>
      <x:c r="G211" s="10" t="n">
        <x:v>128</x:v>
      </x:c>
      <x:c r="H211" s="14" t="n">
        <x:v>12.84</x:v>
      </x:c>
      <x:c r="I211" s="14" t="n">
        <x:f>G211*H211</x:f>
        <x:v>1643.52</x:v>
      </x:c>
      <x:c r="J211" s="16" t="n">
        <x:f>IFERROR(F211/E211,0)</x:f>
        <x:v>0.9318181818181818</x:v>
      </x:c>
      <x:c r="K211" s="10" t="str">
        <x:f>IF(J211&lt;0.90,"Stockout","Healthy")</x:f>
        <x:v>Healthy</x:v>
      </x:c>
    </x:row>
    <x:row r="212">
      <x:c r="A212" s="12" t="n">
        <x:v>46113</x:v>
      </x:c>
      <x:c r="B212" s="10" t="str">
        <x:v>Store 302</x:v>
      </x:c>
      <x:c r="C212" s="10" t="str">
        <x:v>West</x:v>
      </x:c>
      <x:c r="D212" s="10" t="str">
        <x:v>Pain Relief</x:v>
      </x:c>
      <x:c r="E212" s="10" t="n">
        <x:v>50</x:v>
      </x:c>
      <x:c r="F212" s="10" t="n">
        <x:v>47</x:v>
      </x:c>
      <x:c r="G212" s="10" t="n">
        <x:v>118</x:v>
      </x:c>
      <x:c r="H212" s="14" t="n">
        <x:v>14.73</x:v>
      </x:c>
      <x:c r="I212" s="14" t="n">
        <x:f>G212*H212</x:f>
        <x:v>1738.14</x:v>
      </x:c>
      <x:c r="J212" s="16" t="n">
        <x:f>IFERROR(F212/E212,0)</x:f>
        <x:v>0.94</x:v>
      </x:c>
      <x:c r="K212" s="10" t="str">
        <x:f>IF(J212&lt;0.90,"Stockout","Healthy")</x:f>
        <x:v>Healthy</x:v>
      </x:c>
    </x:row>
    <x:row r="213">
      <x:c r="A213" s="12" t="n">
        <x:v>46113</x:v>
      </x:c>
      <x:c r="B213" s="10" t="str">
        <x:v>Store 302</x:v>
      </x:c>
      <x:c r="C213" s="10" t="str">
        <x:v>West</x:v>
      </x:c>
      <x:c r="D213" s="10" t="str">
        <x:v>Cold &amp; Cough</x:v>
      </x:c>
      <x:c r="E213" s="10" t="n">
        <x:v>48</x:v>
      </x:c>
      <x:c r="F213" s="10" t="n">
        <x:v>44</x:v>
      </x:c>
      <x:c r="G213" s="10" t="n">
        <x:v>127</x:v>
      </x:c>
      <x:c r="H213" s="14" t="n">
        <x:v>14.69</x:v>
      </x:c>
      <x:c r="I213" s="14" t="n">
        <x:f>G213*H213</x:f>
        <x:v>1865.6299999999999</x:v>
      </x:c>
      <x:c r="J213" s="16" t="n">
        <x:f>IFERROR(F213/E213,0)</x:f>
        <x:v>0.9166666666666666</x:v>
      </x:c>
      <x:c r="K213" s="10" t="str">
        <x:f>IF(J213&lt;0.90,"Stockout","Healthy")</x:f>
        <x:v>Healthy</x:v>
      </x:c>
    </x:row>
    <x:row r="214">
      <x:c r="A214" s="12" t="n">
        <x:v>46113</x:v>
      </x:c>
      <x:c r="B214" s="10" t="str">
        <x:v>Store 302</x:v>
      </x:c>
      <x:c r="C214" s="10" t="str">
        <x:v>West</x:v>
      </x:c>
      <x:c r="D214" s="10" t="str">
        <x:v>Digestive Care</x:v>
      </x:c>
      <x:c r="E214" s="10" t="n">
        <x:v>58</x:v>
      </x:c>
      <x:c r="F214" s="10" t="n">
        <x:v>52</x:v>
      </x:c>
      <x:c r="G214" s="10" t="n">
        <x:v>119</x:v>
      </x:c>
      <x:c r="H214" s="14" t="n">
        <x:v>16.4</x:v>
      </x:c>
      <x:c r="I214" s="14" t="n">
        <x:f>G214*H214</x:f>
        <x:v>1951.6</x:v>
      </x:c>
      <x:c r="J214" s="16" t="n">
        <x:f>IFERROR(F214/E214,0)</x:f>
        <x:v>0.896551724137931</x:v>
      </x:c>
      <x:c r="K214" s="10" t="str">
        <x:f>IF(J214&lt;0.90,"Stockout","Healthy")</x:f>
        <x:v>Stockout</x:v>
      </x:c>
    </x:row>
    <x:row r="215">
      <x:c r="A215" s="12" t="n">
        <x:v>46113</x:v>
      </x:c>
      <x:c r="B215" s="10" t="str">
        <x:v>Store 302</x:v>
      </x:c>
      <x:c r="C215" s="10" t="str">
        <x:v>West</x:v>
      </x:c>
      <x:c r="D215" s="10" t="str">
        <x:v>First Aid</x:v>
      </x:c>
      <x:c r="E215" s="10" t="n">
        <x:v>42</x:v>
      </x:c>
      <x:c r="F215" s="10" t="n">
        <x:v>35</x:v>
      </x:c>
      <x:c r="G215" s="10" t="n">
        <x:v>102</x:v>
      </x:c>
      <x:c r="H215" s="14" t="n">
        <x:v>9.47</x:v>
      </x:c>
      <x:c r="I215" s="14" t="n">
        <x:f>G215*H215</x:f>
        <x:v>965.94</x:v>
      </x:c>
      <x:c r="J215" s="16" t="n">
        <x:f>IFERROR(F215/E215,0)</x:f>
        <x:v>0.8333333333333334</x:v>
      </x:c>
      <x:c r="K215" s="10" t="str">
        <x:f>IF(J215&lt;0.90,"Stockout","Healthy")</x:f>
        <x:v>Stockout</x:v>
      </x:c>
    </x:row>
    <x:row r="216">
      <x:c r="A216" s="12" t="n">
        <x:v>46113</x:v>
      </x:c>
      <x:c r="B216" s="10" t="str">
        <x:v>Store 302</x:v>
      </x:c>
      <x:c r="C216" s="10" t="str">
        <x:v>West</x:v>
      </x:c>
      <x:c r="D216" s="10" t="str">
        <x:v>Vitamins</x:v>
      </x:c>
      <x:c r="E216" s="10" t="n">
        <x:v>56</x:v>
      </x:c>
      <x:c r="F216" s="10" t="n">
        <x:v>52</x:v>
      </x:c>
      <x:c r="G216" s="10" t="n">
        <x:v>120</x:v>
      </x:c>
      <x:c r="H216" s="14" t="n">
        <x:v>22.85</x:v>
      </x:c>
      <x:c r="I216" s="14" t="n">
        <x:f>G216*H216</x:f>
        <x:v>2742</x:v>
      </x:c>
      <x:c r="J216" s="16" t="n">
        <x:f>IFERROR(F216/E216,0)</x:f>
        <x:v>0.9285714285714286</x:v>
      </x:c>
      <x:c r="K216" s="10" t="str">
        <x:f>IF(J216&lt;0.90,"Stockout","Healthy")</x:f>
        <x:v>Healthy</x:v>
      </x:c>
    </x:row>
    <x:row r="217">
      <x:c r="A217" s="12" t="n">
        <x:v>46113</x:v>
      </x:c>
      <x:c r="B217" s="10" t="str">
        <x:v>Store 302</x:v>
      </x:c>
      <x:c r="C217" s="10" t="str">
        <x:v>West</x:v>
      </x:c>
      <x:c r="D217" s="10" t="str">
        <x:v>Personal Care</x:v>
      </x:c>
      <x:c r="E217" s="10" t="n">
        <x:v>59</x:v>
      </x:c>
      <x:c r="F217" s="10" t="n">
        <x:v>55</x:v>
      </x:c>
      <x:c r="G217" s="10" t="n">
        <x:v>134</x:v>
      </x:c>
      <x:c r="H217" s="14" t="n">
        <x:v>12.25</x:v>
      </x:c>
      <x:c r="I217" s="14" t="n">
        <x:f>G217*H217</x:f>
        <x:v>1641.5</x:v>
      </x:c>
      <x:c r="J217" s="16" t="n">
        <x:f>IFERROR(F217/E217,0)</x:f>
        <x:v>0.9322033898305084</x:v>
      </x:c>
      <x:c r="K217" s="10" t="str">
        <x:f>IF(J217&lt;0.90,"Stockout","Healthy")</x:f>
        <x:v>Healthy</x:v>
      </x:c>
    </x:row>
    <x:row r="218">
      <x:c r="A218" s="12" t="n">
        <x:v>46113</x:v>
      </x:c>
      <x:c r="B218" s="10" t="str">
        <x:v>Store 401</x:v>
      </x:c>
      <x:c r="C218" s="10" t="str">
        <x:v>North</x:v>
      </x:c>
      <x:c r="D218" s="10" t="str">
        <x:v>Pain Relief</x:v>
      </x:c>
      <x:c r="E218" s="10" t="n">
        <x:v>51</x:v>
      </x:c>
      <x:c r="F218" s="10" t="n">
        <x:v>46</x:v>
      </x:c>
      <x:c r="G218" s="10" t="n">
        <x:v>132</x:v>
      </x:c>
      <x:c r="H218" s="14" t="n">
        <x:v>14.65</x:v>
      </x:c>
      <x:c r="I218" s="14" t="n">
        <x:f>G218*H218</x:f>
        <x:v>1933.8</x:v>
      </x:c>
      <x:c r="J218" s="16" t="n">
        <x:f>IFERROR(F218/E218,0)</x:f>
        <x:v>0.9019607843137255</x:v>
      </x:c>
      <x:c r="K218" s="10" t="str">
        <x:f>IF(J218&lt;0.90,"Stockout","Healthy")</x:f>
        <x:v>Healthy</x:v>
      </x:c>
    </x:row>
    <x:row r="219">
      <x:c r="A219" s="12" t="n">
        <x:v>46113</x:v>
      </x:c>
      <x:c r="B219" s="10" t="str">
        <x:v>Store 401</x:v>
      </x:c>
      <x:c r="C219" s="10" t="str">
        <x:v>North</x:v>
      </x:c>
      <x:c r="D219" s="10" t="str">
        <x:v>Cold &amp; Cough</x:v>
      </x:c>
      <x:c r="E219" s="10" t="n">
        <x:v>37</x:v>
      </x:c>
      <x:c r="F219" s="10" t="n">
        <x:v>34</x:v>
      </x:c>
      <x:c r="G219" s="10" t="n">
        <x:v>125</x:v>
      </x:c>
      <x:c r="H219" s="14" t="n">
        <x:v>16.25</x:v>
      </x:c>
      <x:c r="I219" s="14" t="n">
        <x:f>G219*H219</x:f>
        <x:v>2031.25</x:v>
      </x:c>
      <x:c r="J219" s="16" t="n">
        <x:f>IFERROR(F219/E219,0)</x:f>
        <x:v>0.918918918918919</x:v>
      </x:c>
      <x:c r="K219" s="10" t="str">
        <x:f>IF(J219&lt;0.90,"Stockout","Healthy")</x:f>
        <x:v>Healthy</x:v>
      </x:c>
    </x:row>
    <x:row r="220">
      <x:c r="A220" s="12" t="n">
        <x:v>46113</x:v>
      </x:c>
      <x:c r="B220" s="10" t="str">
        <x:v>Store 401</x:v>
      </x:c>
      <x:c r="C220" s="10" t="str">
        <x:v>North</x:v>
      </x:c>
      <x:c r="D220" s="10" t="str">
        <x:v>Digestive Care</x:v>
      </x:c>
      <x:c r="E220" s="10" t="n">
        <x:v>49</x:v>
      </x:c>
      <x:c r="F220" s="10" t="n">
        <x:v>48</x:v>
      </x:c>
      <x:c r="G220" s="10" t="n">
        <x:v>114</x:v>
      </x:c>
      <x:c r="H220" s="14" t="n">
        <x:v>18.99</x:v>
      </x:c>
      <x:c r="I220" s="14" t="n">
        <x:f>G220*H220</x:f>
        <x:v>2164.8599999999997</x:v>
      </x:c>
      <x:c r="J220" s="16" t="n">
        <x:f>IFERROR(F220/E220,0)</x:f>
        <x:v>0.9795918367346939</x:v>
      </x:c>
      <x:c r="K220" s="10" t="str">
        <x:f>IF(J220&lt;0.90,"Stockout","Healthy")</x:f>
        <x:v>Healthy</x:v>
      </x:c>
    </x:row>
    <x:row r="221">
      <x:c r="A221" s="12" t="n">
        <x:v>46113</x:v>
      </x:c>
      <x:c r="B221" s="10" t="str">
        <x:v>Store 401</x:v>
      </x:c>
      <x:c r="C221" s="10" t="str">
        <x:v>North</x:v>
      </x:c>
      <x:c r="D221" s="10" t="str">
        <x:v>First Aid</x:v>
      </x:c>
      <x:c r="E221" s="10" t="n">
        <x:v>47</x:v>
      </x:c>
      <x:c r="F221" s="10" t="n">
        <x:v>47</x:v>
      </x:c>
      <x:c r="G221" s="10" t="n">
        <x:v>62</x:v>
      </x:c>
      <x:c r="H221" s="14" t="n">
        <x:v>9.06</x:v>
      </x:c>
      <x:c r="I221" s="14" t="n">
        <x:f>G221*H221</x:f>
        <x:v>561.72</x:v>
      </x:c>
      <x:c r="J221" s="16" t="n">
        <x:f>IFERROR(F221/E221,0)</x:f>
        <x:v>1</x:v>
      </x:c>
      <x:c r="K221" s="10" t="str">
        <x:f>IF(J221&lt;0.90,"Stockout","Healthy")</x:f>
        <x:v>Healthy</x:v>
      </x:c>
    </x:row>
    <x:row r="222">
      <x:c r="A222" s="12" t="n">
        <x:v>46113</x:v>
      </x:c>
      <x:c r="B222" s="10" t="str">
        <x:v>Store 401</x:v>
      </x:c>
      <x:c r="C222" s="10" t="str">
        <x:v>North</x:v>
      </x:c>
      <x:c r="D222" s="10" t="str">
        <x:v>Vitamins</x:v>
      </x:c>
      <x:c r="E222" s="10" t="n">
        <x:v>51</x:v>
      </x:c>
      <x:c r="F222" s="10" t="n">
        <x:v>49</x:v>
      </x:c>
      <x:c r="G222" s="10" t="n">
        <x:v>135</x:v>
      </x:c>
      <x:c r="H222" s="14" t="n">
        <x:v>22.7</x:v>
      </x:c>
      <x:c r="I222" s="14" t="n">
        <x:f>G222*H222</x:f>
        <x:v>3064.5</x:v>
      </x:c>
      <x:c r="J222" s="16" t="n">
        <x:f>IFERROR(F222/E222,0)</x:f>
        <x:v>0.9607843137254902</x:v>
      </x:c>
      <x:c r="K222" s="10" t="str">
        <x:f>IF(J222&lt;0.90,"Stockout","Healthy")</x:f>
        <x:v>Healthy</x:v>
      </x:c>
    </x:row>
    <x:row r="223">
      <x:c r="A223" s="12" t="n">
        <x:v>46113</x:v>
      </x:c>
      <x:c r="B223" s="10" t="str">
        <x:v>Store 401</x:v>
      </x:c>
      <x:c r="C223" s="10" t="str">
        <x:v>North</x:v>
      </x:c>
      <x:c r="D223" s="10" t="str">
        <x:v>Personal Care</x:v>
      </x:c>
      <x:c r="E223" s="10" t="n">
        <x:v>57</x:v>
      </x:c>
      <x:c r="F223" s="10" t="n">
        <x:v>56</x:v>
      </x:c>
      <x:c r="G223" s="10" t="n">
        <x:v>88</x:v>
      </x:c>
      <x:c r="H223" s="14" t="n">
        <x:v>11.53</x:v>
      </x:c>
      <x:c r="I223" s="14" t="n">
        <x:f>G223*H223</x:f>
        <x:v>1014.64</x:v>
      </x:c>
      <x:c r="J223" s="16" t="n">
        <x:f>IFERROR(F223/E223,0)</x:f>
        <x:v>0.9824561403508771</x:v>
      </x:c>
      <x:c r="K223" s="10" t="str">
        <x:f>IF(J223&lt;0.90,"Stockout","Healthy")</x:f>
        <x:v>Healthy</x:v>
      </x:c>
    </x:row>
    <x:row r="224">
      <x:c r="A224" s="12" t="n">
        <x:v>46113</x:v>
      </x:c>
      <x:c r="B224" s="10" t="str">
        <x:v>Store 402</x:v>
      </x:c>
      <x:c r="C224" s="10" t="str">
        <x:v>North</x:v>
      </x:c>
      <x:c r="D224" s="10" t="str">
        <x:v>Pain Relief</x:v>
      </x:c>
      <x:c r="E224" s="10" t="n">
        <x:v>59</x:v>
      </x:c>
      <x:c r="F224" s="10" t="n">
        <x:v>57</x:v>
      </x:c>
      <x:c r="G224" s="10" t="n">
        <x:v>107</x:v>
      </x:c>
      <x:c r="H224" s="14" t="n">
        <x:v>14.49</x:v>
      </x:c>
      <x:c r="I224" s="14" t="n">
        <x:f>G224*H224</x:f>
        <x:v>1550.43</x:v>
      </x:c>
      <x:c r="J224" s="16" t="n">
        <x:f>IFERROR(F224/E224,0)</x:f>
        <x:v>0.9661016949152542</x:v>
      </x:c>
      <x:c r="K224" s="10" t="str">
        <x:f>IF(J224&lt;0.90,"Stockout","Healthy")</x:f>
        <x:v>Healthy</x:v>
      </x:c>
    </x:row>
    <x:row r="225">
      <x:c r="A225" s="12" t="n">
        <x:v>46113</x:v>
      </x:c>
      <x:c r="B225" s="10" t="str">
        <x:v>Store 402</x:v>
      </x:c>
      <x:c r="C225" s="10" t="str">
        <x:v>North</x:v>
      </x:c>
      <x:c r="D225" s="10" t="str">
        <x:v>Cold &amp; Cough</x:v>
      </x:c>
      <x:c r="E225" s="10" t="n">
        <x:v>42</x:v>
      </x:c>
      <x:c r="F225" s="10" t="n">
        <x:v>40</x:v>
      </x:c>
      <x:c r="G225" s="10" t="n">
        <x:v>107</x:v>
      </x:c>
      <x:c r="H225" s="14" t="n">
        <x:v>14.49</x:v>
      </x:c>
      <x:c r="I225" s="14" t="n">
        <x:f>G225*H225</x:f>
        <x:v>1550.43</x:v>
      </x:c>
      <x:c r="J225" s="16" t="n">
        <x:f>IFERROR(F225/E225,0)</x:f>
        <x:v>0.9523809523809523</x:v>
      </x:c>
      <x:c r="K225" s="10" t="str">
        <x:f>IF(J225&lt;0.90,"Stockout","Healthy")</x:f>
        <x:v>Healthy</x:v>
      </x:c>
    </x:row>
    <x:row r="226">
      <x:c r="A226" s="12" t="n">
        <x:v>46113</x:v>
      </x:c>
      <x:c r="B226" s="10" t="str">
        <x:v>Store 402</x:v>
      </x:c>
      <x:c r="C226" s="10" t="str">
        <x:v>North</x:v>
      </x:c>
      <x:c r="D226" s="10" t="str">
        <x:v>Digestive Care</x:v>
      </x:c>
      <x:c r="E226" s="10" t="n">
        <x:v>52</x:v>
      </x:c>
      <x:c r="F226" s="10" t="n">
        <x:v>46</x:v>
      </x:c>
      <x:c r="G226" s="10" t="n">
        <x:v>108</x:v>
      </x:c>
      <x:c r="H226" s="14" t="n">
        <x:v>19.63</x:v>
      </x:c>
      <x:c r="I226" s="14" t="n">
        <x:f>G226*H226</x:f>
        <x:v>2120.04</x:v>
      </x:c>
      <x:c r="J226" s="16" t="n">
        <x:f>IFERROR(F226/E226,0)</x:f>
        <x:v>0.8846153846153846</x:v>
      </x:c>
      <x:c r="K226" s="10" t="str">
        <x:f>IF(J226&lt;0.90,"Stockout","Healthy")</x:f>
        <x:v>Stockout</x:v>
      </x:c>
    </x:row>
    <x:row r="227">
      <x:c r="A227" s="12" t="n">
        <x:v>46113</x:v>
      </x:c>
      <x:c r="B227" s="10" t="str">
        <x:v>Store 402</x:v>
      </x:c>
      <x:c r="C227" s="10" t="str">
        <x:v>North</x:v>
      </x:c>
      <x:c r="D227" s="10" t="str">
        <x:v>First Aid</x:v>
      </x:c>
      <x:c r="E227" s="10" t="n">
        <x:v>48</x:v>
      </x:c>
      <x:c r="F227" s="10" t="n">
        <x:v>43</x:v>
      </x:c>
      <x:c r="G227" s="10" t="n">
        <x:v>120</x:v>
      </x:c>
      <x:c r="H227" s="14" t="n">
        <x:v>9.7</x:v>
      </x:c>
      <x:c r="I227" s="14" t="n">
        <x:f>G227*H227</x:f>
        <x:v>1164</x:v>
      </x:c>
      <x:c r="J227" s="16" t="n">
        <x:f>IFERROR(F227/E227,0)</x:f>
        <x:v>0.8958333333333334</x:v>
      </x:c>
      <x:c r="K227" s="10" t="str">
        <x:f>IF(J227&lt;0.90,"Stockout","Healthy")</x:f>
        <x:v>Stockout</x:v>
      </x:c>
    </x:row>
    <x:row r="228">
      <x:c r="A228" s="12" t="n">
        <x:v>46113</x:v>
      </x:c>
      <x:c r="B228" s="10" t="str">
        <x:v>Store 402</x:v>
      </x:c>
      <x:c r="C228" s="10" t="str">
        <x:v>North</x:v>
      </x:c>
      <x:c r="D228" s="10" t="str">
        <x:v>Vitamins</x:v>
      </x:c>
      <x:c r="E228" s="10" t="n">
        <x:v>51</x:v>
      </x:c>
      <x:c r="F228" s="10" t="n">
        <x:v>44</x:v>
      </x:c>
      <x:c r="G228" s="10" t="n">
        <x:v>166</x:v>
      </x:c>
      <x:c r="H228" s="14" t="n">
        <x:v>24.01</x:v>
      </x:c>
      <x:c r="I228" s="14" t="n">
        <x:f>G228*H228</x:f>
        <x:v>3985.6600000000003</x:v>
      </x:c>
      <x:c r="J228" s="16" t="n">
        <x:f>IFERROR(F228/E228,0)</x:f>
        <x:v>0.8627450980392157</x:v>
      </x:c>
      <x:c r="K228" s="10" t="str">
        <x:f>IF(J228&lt;0.90,"Stockout","Healthy")</x:f>
        <x:v>Stockout</x:v>
      </x:c>
    </x:row>
    <x:row r="229">
      <x:c r="A229" s="12" t="n">
        <x:v>46113</x:v>
      </x:c>
      <x:c r="B229" s="10" t="str">
        <x:v>Store 402</x:v>
      </x:c>
      <x:c r="C229" s="10" t="str">
        <x:v>North</x:v>
      </x:c>
      <x:c r="D229" s="10" t="str">
        <x:v>Personal Care</x:v>
      </x:c>
      <x:c r="E229" s="10" t="n">
        <x:v>56</x:v>
      </x:c>
      <x:c r="F229" s="10" t="n">
        <x:v>53</x:v>
      </x:c>
      <x:c r="G229" s="10" t="n">
        <x:v>150</x:v>
      </x:c>
      <x:c r="H229" s="14" t="n">
        <x:v>13.06</x:v>
      </x:c>
      <x:c r="I229" s="14" t="n">
        <x:f>G229*H229</x:f>
        <x:v>1959</x:v>
      </x:c>
      <x:c r="J229" s="16" t="n">
        <x:f>IFERROR(F229/E229,0)</x:f>
        <x:v>0.9464285714285714</x:v>
      </x:c>
      <x:c r="K229" s="10" t="str">
        <x:f>IF(J229&lt;0.90,"Stockout","Healthy")</x:f>
        <x:v>Healthy</x:v>
      </x:c>
    </x:row>
    <x:row r="230">
      <x:c r="A230" s="12" t="n">
        <x:v>46113</x:v>
      </x:c>
      <x:c r="B230" s="10" t="str">
        <x:v>Store 501</x:v>
      </x:c>
      <x:c r="C230" s="10" t="str">
        <x:v>South</x:v>
      </x:c>
      <x:c r="D230" s="10" t="str">
        <x:v>Pain Relief</x:v>
      </x:c>
      <x:c r="E230" s="10" t="n">
        <x:v>47</x:v>
      </x:c>
      <x:c r="F230" s="10" t="n">
        <x:v>47</x:v>
      </x:c>
      <x:c r="G230" s="10" t="n">
        <x:v>140</x:v>
      </x:c>
      <x:c r="H230" s="14" t="n">
        <x:v>14.24</x:v>
      </x:c>
      <x:c r="I230" s="14" t="n">
        <x:f>G230*H230</x:f>
        <x:v>1993.6000000000001</x:v>
      </x:c>
      <x:c r="J230" s="16" t="n">
        <x:f>IFERROR(F230/E230,0)</x:f>
        <x:v>1</x:v>
      </x:c>
      <x:c r="K230" s="10" t="str">
        <x:f>IF(J230&lt;0.90,"Stockout","Healthy")</x:f>
        <x:v>Healthy</x:v>
      </x:c>
    </x:row>
    <x:row r="231">
      <x:c r="A231" s="12" t="n">
        <x:v>46113</x:v>
      </x:c>
      <x:c r="B231" s="10" t="str">
        <x:v>Store 501</x:v>
      </x:c>
      <x:c r="C231" s="10" t="str">
        <x:v>South</x:v>
      </x:c>
      <x:c r="D231" s="10" t="str">
        <x:v>Cold &amp; Cough</x:v>
      </x:c>
      <x:c r="E231" s="10" t="n">
        <x:v>59</x:v>
      </x:c>
      <x:c r="F231" s="10" t="n">
        <x:v>50</x:v>
      </x:c>
      <x:c r="G231" s="10" t="n">
        <x:v>179</x:v>
      </x:c>
      <x:c r="H231" s="14" t="n">
        <x:v>16.11</x:v>
      </x:c>
      <x:c r="I231" s="14" t="n">
        <x:f>G231*H231</x:f>
        <x:v>2883.69</x:v>
      </x:c>
      <x:c r="J231" s="16" t="n">
        <x:f>IFERROR(F231/E231,0)</x:f>
        <x:v>0.847457627118644</x:v>
      </x:c>
      <x:c r="K231" s="10" t="str">
        <x:f>IF(J231&lt;0.90,"Stockout","Healthy")</x:f>
        <x:v>Stockout</x:v>
      </x:c>
    </x:row>
    <x:row r="232">
      <x:c r="A232" s="12" t="n">
        <x:v>46113</x:v>
      </x:c>
      <x:c r="B232" s="10" t="str">
        <x:v>Store 501</x:v>
      </x:c>
      <x:c r="C232" s="10" t="str">
        <x:v>South</x:v>
      </x:c>
      <x:c r="D232" s="10" t="str">
        <x:v>Digestive Care</x:v>
      </x:c>
      <x:c r="E232" s="10" t="n">
        <x:v>54</x:v>
      </x:c>
      <x:c r="F232" s="10" t="n">
        <x:v>53</x:v>
      </x:c>
      <x:c r="G232" s="10" t="n">
        <x:v>125</x:v>
      </x:c>
      <x:c r="H232" s="14" t="n">
        <x:v>16.35</x:v>
      </x:c>
      <x:c r="I232" s="14" t="n">
        <x:f>G232*H232</x:f>
        <x:v>2043.7500000000002</x:v>
      </x:c>
      <x:c r="J232" s="16" t="n">
        <x:f>IFERROR(F232/E232,0)</x:f>
        <x:v>0.9814814814814815</x:v>
      </x:c>
      <x:c r="K232" s="10" t="str">
        <x:f>IF(J232&lt;0.90,"Stockout","Healthy")</x:f>
        <x:v>Healthy</x:v>
      </x:c>
    </x:row>
    <x:row r="233">
      <x:c r="A233" s="12" t="n">
        <x:v>46113</x:v>
      </x:c>
      <x:c r="B233" s="10" t="str">
        <x:v>Store 501</x:v>
      </x:c>
      <x:c r="C233" s="10" t="str">
        <x:v>South</x:v>
      </x:c>
      <x:c r="D233" s="10" t="str">
        <x:v>First Aid</x:v>
      </x:c>
      <x:c r="E233" s="10" t="n">
        <x:v>50</x:v>
      </x:c>
      <x:c r="F233" s="10" t="n">
        <x:v>49</x:v>
      </x:c>
      <x:c r="G233" s="10" t="n">
        <x:v>124</x:v>
      </x:c>
      <x:c r="H233" s="14" t="n">
        <x:v>8.76</x:v>
      </x:c>
      <x:c r="I233" s="14" t="n">
        <x:f>G233*H233</x:f>
        <x:v>1086.24</x:v>
      </x:c>
      <x:c r="J233" s="16" t="n">
        <x:f>IFERROR(F233/E233,0)</x:f>
        <x:v>0.98</x:v>
      </x:c>
      <x:c r="K233" s="10" t="str">
        <x:f>IF(J233&lt;0.90,"Stockout","Healthy")</x:f>
        <x:v>Healthy</x:v>
      </x:c>
    </x:row>
    <x:row r="234">
      <x:c r="A234" s="12" t="n">
        <x:v>46113</x:v>
      </x:c>
      <x:c r="B234" s="10" t="str">
        <x:v>Store 501</x:v>
      </x:c>
      <x:c r="C234" s="10" t="str">
        <x:v>South</x:v>
      </x:c>
      <x:c r="D234" s="10" t="str">
        <x:v>Vitamins</x:v>
      </x:c>
      <x:c r="E234" s="10" t="n">
        <x:v>48</x:v>
      </x:c>
      <x:c r="F234" s="10" t="n">
        <x:v>48</x:v>
      </x:c>
      <x:c r="G234" s="10" t="n">
        <x:v>161</x:v>
      </x:c>
      <x:c r="H234" s="14" t="n">
        <x:v>19.87</x:v>
      </x:c>
      <x:c r="I234" s="14" t="n">
        <x:f>G234*H234</x:f>
        <x:v>3199.07</x:v>
      </x:c>
      <x:c r="J234" s="16" t="n">
        <x:f>IFERROR(F234/E234,0)</x:f>
        <x:v>1</x:v>
      </x:c>
      <x:c r="K234" s="10" t="str">
        <x:f>IF(J234&lt;0.90,"Stockout","Healthy")</x:f>
        <x:v>Healthy</x:v>
      </x:c>
    </x:row>
    <x:row r="235">
      <x:c r="A235" s="12" t="n">
        <x:v>46113</x:v>
      </x:c>
      <x:c r="B235" s="10" t="str">
        <x:v>Store 501</x:v>
      </x:c>
      <x:c r="C235" s="10" t="str">
        <x:v>South</x:v>
      </x:c>
      <x:c r="D235" s="10" t="str">
        <x:v>Personal Care</x:v>
      </x:c>
      <x:c r="E235" s="10" t="n">
        <x:v>38</x:v>
      </x:c>
      <x:c r="F235" s="10" t="n">
        <x:v>34</x:v>
      </x:c>
      <x:c r="G235" s="10" t="n">
        <x:v>148</x:v>
      </x:c>
      <x:c r="H235" s="14" t="n">
        <x:v>11.21</x:v>
      </x:c>
      <x:c r="I235" s="14" t="n">
        <x:f>G235*H235</x:f>
        <x:v>1659.0800000000002</x:v>
      </x:c>
      <x:c r="J235" s="16" t="n">
        <x:f>IFERROR(F235/E235,0)</x:f>
        <x:v>0.8947368421052632</x:v>
      </x:c>
      <x:c r="K235" s="10" t="str">
        <x:f>IF(J235&lt;0.90,"Stockout","Healthy")</x:f>
        <x:v>Stockout</x:v>
      </x:c>
    </x:row>
    <x:row r="236">
      <x:c r="A236" s="12" t="n">
        <x:v>46113</x:v>
      </x:c>
      <x:c r="B236" s="10" t="str">
        <x:v>Store 502</x:v>
      </x:c>
      <x:c r="C236" s="10" t="str">
        <x:v>South</x:v>
      </x:c>
      <x:c r="D236" s="10" t="str">
        <x:v>Pain Relief</x:v>
      </x:c>
      <x:c r="E236" s="10" t="n">
        <x:v>49</x:v>
      </x:c>
      <x:c r="F236" s="10" t="n">
        <x:v>46</x:v>
      </x:c>
      <x:c r="G236" s="10" t="n">
        <x:v>113</x:v>
      </x:c>
      <x:c r="H236" s="14" t="n">
        <x:v>14</x:v>
      </x:c>
      <x:c r="I236" s="14" t="n">
        <x:f>G236*H236</x:f>
        <x:v>1582</x:v>
      </x:c>
      <x:c r="J236" s="16" t="n">
        <x:f>IFERROR(F236/E236,0)</x:f>
        <x:v>0.9387755102040817</x:v>
      </x:c>
      <x:c r="K236" s="10" t="str">
        <x:f>IF(J236&lt;0.90,"Stockout","Healthy")</x:f>
        <x:v>Healthy</x:v>
      </x:c>
    </x:row>
    <x:row r="237">
      <x:c r="A237" s="12" t="n">
        <x:v>46113</x:v>
      </x:c>
      <x:c r="B237" s="10" t="str">
        <x:v>Store 502</x:v>
      </x:c>
      <x:c r="C237" s="10" t="str">
        <x:v>South</x:v>
      </x:c>
      <x:c r="D237" s="10" t="str">
        <x:v>Cold &amp; Cough</x:v>
      </x:c>
      <x:c r="E237" s="10" t="n">
        <x:v>46</x:v>
      </x:c>
      <x:c r="F237" s="10" t="n">
        <x:v>41</x:v>
      </x:c>
      <x:c r="G237" s="10" t="n">
        <x:v>92</x:v>
      </x:c>
      <x:c r="H237" s="14" t="n">
        <x:v>16.31</x:v>
      </x:c>
      <x:c r="I237" s="14" t="n">
        <x:f>G237*H237</x:f>
        <x:v>1500.52</x:v>
      </x:c>
      <x:c r="J237" s="16" t="n">
        <x:f>IFERROR(F237/E237,0)</x:f>
        <x:v>0.8913043478260869</x:v>
      </x:c>
      <x:c r="K237" s="10" t="str">
        <x:f>IF(J237&lt;0.90,"Stockout","Healthy")</x:f>
        <x:v>Stockout</x:v>
      </x:c>
    </x:row>
    <x:row r="238">
      <x:c r="A238" s="12" t="n">
        <x:v>46113</x:v>
      </x:c>
      <x:c r="B238" s="10" t="str">
        <x:v>Store 502</x:v>
      </x:c>
      <x:c r="C238" s="10" t="str">
        <x:v>South</x:v>
      </x:c>
      <x:c r="D238" s="10" t="str">
        <x:v>Digestive Care</x:v>
      </x:c>
      <x:c r="E238" s="10" t="n">
        <x:v>51</x:v>
      </x:c>
      <x:c r="F238" s="10" t="n">
        <x:v>46</x:v>
      </x:c>
      <x:c r="G238" s="10" t="n">
        <x:v>147</x:v>
      </x:c>
      <x:c r="H238" s="14" t="n">
        <x:v>19.05</x:v>
      </x:c>
      <x:c r="I238" s="14" t="n">
        <x:f>G238*H238</x:f>
        <x:v>2800.35</x:v>
      </x:c>
      <x:c r="J238" s="16" t="n">
        <x:f>IFERROR(F238/E238,0)</x:f>
        <x:v>0.9019607843137255</x:v>
      </x:c>
      <x:c r="K238" s="10" t="str">
        <x:f>IF(J238&lt;0.90,"Stockout","Healthy")</x:f>
        <x:v>Healthy</x:v>
      </x:c>
    </x:row>
    <x:row r="239">
      <x:c r="A239" s="12" t="n">
        <x:v>46113</x:v>
      </x:c>
      <x:c r="B239" s="10" t="str">
        <x:v>Store 502</x:v>
      </x:c>
      <x:c r="C239" s="10" t="str">
        <x:v>South</x:v>
      </x:c>
      <x:c r="D239" s="10" t="str">
        <x:v>First Aid</x:v>
      </x:c>
      <x:c r="E239" s="10" t="n">
        <x:v>58</x:v>
      </x:c>
      <x:c r="F239" s="10" t="n">
        <x:v>51</x:v>
      </x:c>
      <x:c r="G239" s="10" t="n">
        <x:v>134</x:v>
      </x:c>
      <x:c r="H239" s="14" t="n">
        <x:v>9.84</x:v>
      </x:c>
      <x:c r="I239" s="14" t="n">
        <x:f>G239*H239</x:f>
        <x:v>1318.56</x:v>
      </x:c>
      <x:c r="J239" s="16" t="n">
        <x:f>IFERROR(F239/E239,0)</x:f>
        <x:v>0.8793103448275862</x:v>
      </x:c>
      <x:c r="K239" s="10" t="str">
        <x:f>IF(J239&lt;0.90,"Stockout","Healthy")</x:f>
        <x:v>Stockout</x:v>
      </x:c>
    </x:row>
    <x:row r="240">
      <x:c r="A240" s="12" t="n">
        <x:v>46113</x:v>
      </x:c>
      <x:c r="B240" s="10" t="str">
        <x:v>Store 502</x:v>
      </x:c>
      <x:c r="C240" s="10" t="str">
        <x:v>South</x:v>
      </x:c>
      <x:c r="D240" s="10" t="str">
        <x:v>Vitamins</x:v>
      </x:c>
      <x:c r="E240" s="10" t="n">
        <x:v>41</x:v>
      </x:c>
      <x:c r="F240" s="10" t="n">
        <x:v>36</x:v>
      </x:c>
      <x:c r="G240" s="10" t="n">
        <x:v>91</x:v>
      </x:c>
      <x:c r="H240" s="14" t="n">
        <x:v>24.63</x:v>
      </x:c>
      <x:c r="I240" s="14" t="n">
        <x:f>G240*H240</x:f>
        <x:v>2241.33</x:v>
      </x:c>
      <x:c r="J240" s="16" t="n">
        <x:f>IFERROR(F240/E240,0)</x:f>
        <x:v>0.8780487804878049</x:v>
      </x:c>
      <x:c r="K240" s="10" t="str">
        <x:f>IF(J240&lt;0.90,"Stockout","Healthy")</x:f>
        <x:v>Stockout</x:v>
      </x:c>
    </x:row>
    <x:row r="241">
      <x:c r="A241" s="12" t="n">
        <x:v>46113</x:v>
      </x:c>
      <x:c r="B241" s="10" t="str">
        <x:v>Store 502</x:v>
      </x:c>
      <x:c r="C241" s="10" t="str">
        <x:v>South</x:v>
      </x:c>
      <x:c r="D241" s="10" t="str">
        <x:v>Personal Care</x:v>
      </x:c>
      <x:c r="E241" s="10" t="n">
        <x:v>57</x:v>
      </x:c>
      <x:c r="F241" s="10" t="n">
        <x:v>56</x:v>
      </x:c>
      <x:c r="G241" s="10" t="n">
        <x:v>169</x:v>
      </x:c>
      <x:c r="H241" s="14" t="n">
        <x:v>12.81</x:v>
      </x:c>
      <x:c r="I241" s="14" t="n">
        <x:f>G241*H241</x:f>
        <x:v>2164.89</x:v>
      </x:c>
      <x:c r="J241" s="16" t="n">
        <x:f>IFERROR(F241/E241,0)</x:f>
        <x:v>0.9824561403508771</x:v>
      </x:c>
      <x:c r="K241" s="10" t="str">
        <x:f>IF(J241&lt;0.90,"Stockout","Healthy")</x:f>
        <x:v>Healthy</x:v>
      </x:c>
    </x:row>
    <x:row r="242">
      <x:c r="A242" s="12" t="n">
        <x:v>46143</x:v>
      </x:c>
      <x:c r="B242" s="10" t="str">
        <x:v>Store 101</x:v>
      </x:c>
      <x:c r="C242" s="10" t="str">
        <x:v>Central</x:v>
      </x:c>
      <x:c r="D242" s="10" t="str">
        <x:v>Pain Relief</x:v>
      </x:c>
      <x:c r="E242" s="10" t="n">
        <x:v>56</x:v>
      </x:c>
      <x:c r="F242" s="10" t="n">
        <x:v>55</x:v>
      </x:c>
      <x:c r="G242" s="10" t="n">
        <x:v>110</x:v>
      </x:c>
      <x:c r="H242" s="14" t="n">
        <x:v>14.21</x:v>
      </x:c>
      <x:c r="I242" s="14" t="n">
        <x:f>G242*H242</x:f>
        <x:v>1563.1000000000001</x:v>
      </x:c>
      <x:c r="J242" s="16" t="n">
        <x:f>IFERROR(F242/E242,0)</x:f>
        <x:v>0.9821428571428571</x:v>
      </x:c>
      <x:c r="K242" s="10" t="str">
        <x:f>IF(J242&lt;0.90,"Stockout","Healthy")</x:f>
        <x:v>Healthy</x:v>
      </x:c>
    </x:row>
    <x:row r="243">
      <x:c r="A243" s="12" t="n">
        <x:v>46143</x:v>
      </x:c>
      <x:c r="B243" s="10" t="str">
        <x:v>Store 101</x:v>
      </x:c>
      <x:c r="C243" s="10" t="str">
        <x:v>Central</x:v>
      </x:c>
      <x:c r="D243" s="10" t="str">
        <x:v>Cold &amp; Cough</x:v>
      </x:c>
      <x:c r="E243" s="10" t="n">
        <x:v>34</x:v>
      </x:c>
      <x:c r="F243" s="10" t="n">
        <x:v>34</x:v>
      </x:c>
      <x:c r="G243" s="10" t="n">
        <x:v>143</x:v>
      </x:c>
      <x:c r="H243" s="14" t="n">
        <x:v>14.47</x:v>
      </x:c>
      <x:c r="I243" s="14" t="n">
        <x:f>G243*H243</x:f>
        <x:v>2069.21</x:v>
      </x:c>
      <x:c r="J243" s="16" t="n">
        <x:f>IFERROR(F243/E243,0)</x:f>
        <x:v>1</x:v>
      </x:c>
      <x:c r="K243" s="10" t="str">
        <x:f>IF(J243&lt;0.90,"Stockout","Healthy")</x:f>
        <x:v>Healthy</x:v>
      </x:c>
    </x:row>
    <x:row r="244">
      <x:c r="A244" s="12" t="n">
        <x:v>46143</x:v>
      </x:c>
      <x:c r="B244" s="10" t="str">
        <x:v>Store 101</x:v>
      </x:c>
      <x:c r="C244" s="10" t="str">
        <x:v>Central</x:v>
      </x:c>
      <x:c r="D244" s="10" t="str">
        <x:v>Digestive Care</x:v>
      </x:c>
      <x:c r="E244" s="10" t="n">
        <x:v>45</x:v>
      </x:c>
      <x:c r="F244" s="10" t="n">
        <x:v>41</x:v>
      </x:c>
      <x:c r="G244" s="10" t="n">
        <x:v>138</x:v>
      </x:c>
      <x:c r="H244" s="14" t="n">
        <x:v>17.83</x:v>
      </x:c>
      <x:c r="I244" s="14" t="n">
        <x:f>G244*H244</x:f>
        <x:v>2460.54</x:v>
      </x:c>
      <x:c r="J244" s="16" t="n">
        <x:f>IFERROR(F244/E244,0)</x:f>
        <x:v>0.9111111111111111</x:v>
      </x:c>
      <x:c r="K244" s="10" t="str">
        <x:f>IF(J244&lt;0.90,"Stockout","Healthy")</x:f>
        <x:v>Healthy</x:v>
      </x:c>
    </x:row>
    <x:row r="245">
      <x:c r="A245" s="12" t="n">
        <x:v>46143</x:v>
      </x:c>
      <x:c r="B245" s="10" t="str">
        <x:v>Store 101</x:v>
      </x:c>
      <x:c r="C245" s="10" t="str">
        <x:v>Central</x:v>
      </x:c>
      <x:c r="D245" s="10" t="str">
        <x:v>First Aid</x:v>
      </x:c>
      <x:c r="E245" s="10" t="n">
        <x:v>55</x:v>
      </x:c>
      <x:c r="F245" s="10" t="n">
        <x:v>52</x:v>
      </x:c>
      <x:c r="G245" s="10" t="n">
        <x:v>115</x:v>
      </x:c>
      <x:c r="H245" s="14" t="n">
        <x:v>8.72</x:v>
      </x:c>
      <x:c r="I245" s="14" t="n">
        <x:f>G245*H245</x:f>
        <x:v>1002.8000000000001</x:v>
      </x:c>
      <x:c r="J245" s="16" t="n">
        <x:f>IFERROR(F245/E245,0)</x:f>
        <x:v>0.9454545454545454</x:v>
      </x:c>
      <x:c r="K245" s="10" t="str">
        <x:f>IF(J245&lt;0.90,"Stockout","Healthy")</x:f>
        <x:v>Healthy</x:v>
      </x:c>
    </x:row>
    <x:row r="246">
      <x:c r="A246" s="12" t="n">
        <x:v>46143</x:v>
      </x:c>
      <x:c r="B246" s="10" t="str">
        <x:v>Store 101</x:v>
      </x:c>
      <x:c r="C246" s="10" t="str">
        <x:v>Central</x:v>
      </x:c>
      <x:c r="D246" s="10" t="str">
        <x:v>Vitamins</x:v>
      </x:c>
      <x:c r="E246" s="10" t="n">
        <x:v>46</x:v>
      </x:c>
      <x:c r="F246" s="10" t="n">
        <x:v>42</x:v>
      </x:c>
      <x:c r="G246" s="10" t="n">
        <x:v>117</x:v>
      </x:c>
      <x:c r="H246" s="14" t="n">
        <x:v>24.22</x:v>
      </x:c>
      <x:c r="I246" s="14" t="n">
        <x:f>G246*H246</x:f>
        <x:v>2833.74</x:v>
      </x:c>
      <x:c r="J246" s="16" t="n">
        <x:f>IFERROR(F246/E246,0)</x:f>
        <x:v>0.9130434782608695</x:v>
      </x:c>
      <x:c r="K246" s="10" t="str">
        <x:f>IF(J246&lt;0.90,"Stockout","Healthy")</x:f>
        <x:v>Healthy</x:v>
      </x:c>
    </x:row>
    <x:row r="247">
      <x:c r="A247" s="12" t="n">
        <x:v>46143</x:v>
      </x:c>
      <x:c r="B247" s="10" t="str">
        <x:v>Store 101</x:v>
      </x:c>
      <x:c r="C247" s="10" t="str">
        <x:v>Central</x:v>
      </x:c>
      <x:c r="D247" s="10" t="str">
        <x:v>Personal Care</x:v>
      </x:c>
      <x:c r="E247" s="10" t="n">
        <x:v>38</x:v>
      </x:c>
      <x:c r="F247" s="10" t="n">
        <x:v>36</x:v>
      </x:c>
      <x:c r="G247" s="10" t="n">
        <x:v>165</x:v>
      </x:c>
      <x:c r="H247" s="14" t="n">
        <x:v>12.01</x:v>
      </x:c>
      <x:c r="I247" s="14" t="n">
        <x:f>G247*H247</x:f>
        <x:v>1981.6499999999999</x:v>
      </x:c>
      <x:c r="J247" s="16" t="n">
        <x:f>IFERROR(F247/E247,0)</x:f>
        <x:v>0.9473684210526315</x:v>
      </x:c>
      <x:c r="K247" s="10" t="str">
        <x:f>IF(J247&lt;0.90,"Stockout","Healthy")</x:f>
        <x:v>Healthy</x:v>
      </x:c>
    </x:row>
    <x:row r="248">
      <x:c r="A248" s="12" t="n">
        <x:v>46143</x:v>
      </x:c>
      <x:c r="B248" s="10" t="str">
        <x:v>Store 102</x:v>
      </x:c>
      <x:c r="C248" s="10" t="str">
        <x:v>Central</x:v>
      </x:c>
      <x:c r="D248" s="10" t="str">
        <x:v>Pain Relief</x:v>
      </x:c>
      <x:c r="E248" s="10" t="n">
        <x:v>55</x:v>
      </x:c>
      <x:c r="F248" s="10" t="n">
        <x:v>54</x:v>
      </x:c>
      <x:c r="G248" s="10" t="n">
        <x:v>136</x:v>
      </x:c>
      <x:c r="H248" s="14" t="n">
        <x:v>14.83</x:v>
      </x:c>
      <x:c r="I248" s="14" t="n">
        <x:f>G248*H248</x:f>
        <x:v>2016.88</x:v>
      </x:c>
      <x:c r="J248" s="16" t="n">
        <x:f>IFERROR(F248/E248,0)</x:f>
        <x:v>0.9818181818181818</x:v>
      </x:c>
      <x:c r="K248" s="10" t="str">
        <x:f>IF(J248&lt;0.90,"Stockout","Healthy")</x:f>
        <x:v>Healthy</x:v>
      </x:c>
    </x:row>
    <x:row r="249">
      <x:c r="A249" s="12" t="n">
        <x:v>46143</x:v>
      </x:c>
      <x:c r="B249" s="10" t="str">
        <x:v>Store 102</x:v>
      </x:c>
      <x:c r="C249" s="10" t="str">
        <x:v>Central</x:v>
      </x:c>
      <x:c r="D249" s="10" t="str">
        <x:v>Cold &amp; Cough</x:v>
      </x:c>
      <x:c r="E249" s="10" t="n">
        <x:v>55</x:v>
      </x:c>
      <x:c r="F249" s="10" t="n">
        <x:v>51</x:v>
      </x:c>
      <x:c r="G249" s="10" t="n">
        <x:v>130</x:v>
      </x:c>
      <x:c r="H249" s="14" t="n">
        <x:v>16.62</x:v>
      </x:c>
      <x:c r="I249" s="14" t="n">
        <x:f>G249*H249</x:f>
        <x:v>2160.6</x:v>
      </x:c>
      <x:c r="J249" s="16" t="n">
        <x:f>IFERROR(F249/E249,0)</x:f>
        <x:v>0.9272727272727272</x:v>
      </x:c>
      <x:c r="K249" s="10" t="str">
        <x:f>IF(J249&lt;0.90,"Stockout","Healthy")</x:f>
        <x:v>Healthy</x:v>
      </x:c>
    </x:row>
    <x:row r="250">
      <x:c r="A250" s="12" t="n">
        <x:v>46143</x:v>
      </x:c>
      <x:c r="B250" s="10" t="str">
        <x:v>Store 102</x:v>
      </x:c>
      <x:c r="C250" s="10" t="str">
        <x:v>Central</x:v>
      </x:c>
      <x:c r="D250" s="10" t="str">
        <x:v>Digestive Care</x:v>
      </x:c>
      <x:c r="E250" s="10" t="n">
        <x:v>52</x:v>
      </x:c>
      <x:c r="F250" s="10" t="n">
        <x:v>47</x:v>
      </x:c>
      <x:c r="G250" s="10" t="n">
        <x:v>194</x:v>
      </x:c>
      <x:c r="H250" s="14" t="n">
        <x:v>18.93</x:v>
      </x:c>
      <x:c r="I250" s="14" t="n">
        <x:f>G250*H250</x:f>
        <x:v>3672.42</x:v>
      </x:c>
      <x:c r="J250" s="16" t="n">
        <x:f>IFERROR(F250/E250,0)</x:f>
        <x:v>0.9038461538461539</x:v>
      </x:c>
      <x:c r="K250" s="10" t="str">
        <x:f>IF(J250&lt;0.90,"Stockout","Healthy")</x:f>
        <x:v>Healthy</x:v>
      </x:c>
    </x:row>
    <x:row r="251">
      <x:c r="A251" s="12" t="n">
        <x:v>46143</x:v>
      </x:c>
      <x:c r="B251" s="10" t="str">
        <x:v>Store 102</x:v>
      </x:c>
      <x:c r="C251" s="10" t="str">
        <x:v>Central</x:v>
      </x:c>
      <x:c r="D251" s="10" t="str">
        <x:v>First Aid</x:v>
      </x:c>
      <x:c r="E251" s="10" t="n">
        <x:v>48</x:v>
      </x:c>
      <x:c r="F251" s="10" t="n">
        <x:v>46</x:v>
      </x:c>
      <x:c r="G251" s="10" t="n">
        <x:v>119</x:v>
      </x:c>
      <x:c r="H251" s="14" t="n">
        <x:v>9.35</x:v>
      </x:c>
      <x:c r="I251" s="14" t="n">
        <x:f>G251*H251</x:f>
        <x:v>1112.6499999999999</x:v>
      </x:c>
      <x:c r="J251" s="16" t="n">
        <x:f>IFERROR(F251/E251,0)</x:f>
        <x:v>0.9583333333333334</x:v>
      </x:c>
      <x:c r="K251" s="10" t="str">
        <x:f>IF(J251&lt;0.90,"Stockout","Healthy")</x:f>
        <x:v>Healthy</x:v>
      </x:c>
    </x:row>
    <x:row r="252">
      <x:c r="A252" s="12" t="n">
        <x:v>46143</x:v>
      </x:c>
      <x:c r="B252" s="10" t="str">
        <x:v>Store 102</x:v>
      </x:c>
      <x:c r="C252" s="10" t="str">
        <x:v>Central</x:v>
      </x:c>
      <x:c r="D252" s="10" t="str">
        <x:v>Vitamins</x:v>
      </x:c>
      <x:c r="E252" s="10" t="n">
        <x:v>49</x:v>
      </x:c>
      <x:c r="F252" s="10" t="n">
        <x:v>48</x:v>
      </x:c>
      <x:c r="G252" s="10" t="n">
        <x:v>148</x:v>
      </x:c>
      <x:c r="H252" s="14" t="n">
        <x:v>21.54</x:v>
      </x:c>
      <x:c r="I252" s="14" t="n">
        <x:f>G252*H252</x:f>
        <x:v>3187.92</x:v>
      </x:c>
      <x:c r="J252" s="16" t="n">
        <x:f>IFERROR(F252/E252,0)</x:f>
        <x:v>0.9795918367346939</x:v>
      </x:c>
      <x:c r="K252" s="10" t="str">
        <x:f>IF(J252&lt;0.90,"Stockout","Healthy")</x:f>
        <x:v>Healthy</x:v>
      </x:c>
    </x:row>
    <x:row r="253">
      <x:c r="A253" s="12" t="n">
        <x:v>46143</x:v>
      </x:c>
      <x:c r="B253" s="10" t="str">
        <x:v>Store 102</x:v>
      </x:c>
      <x:c r="C253" s="10" t="str">
        <x:v>Central</x:v>
      </x:c>
      <x:c r="D253" s="10" t="str">
        <x:v>Personal Care</x:v>
      </x:c>
      <x:c r="E253" s="10" t="n">
        <x:v>43</x:v>
      </x:c>
      <x:c r="F253" s="10" t="n">
        <x:v>42</x:v>
      </x:c>
      <x:c r="G253" s="10" t="n">
        <x:v>132</x:v>
      </x:c>
      <x:c r="H253" s="14" t="n">
        <x:v>13.38</x:v>
      </x:c>
      <x:c r="I253" s="14" t="n">
        <x:f>G253*H253</x:f>
        <x:v>1766.16</x:v>
      </x:c>
      <x:c r="J253" s="16" t="n">
        <x:f>IFERROR(F253/E253,0)</x:f>
        <x:v>0.9767441860465116</x:v>
      </x:c>
      <x:c r="K253" s="10" t="str">
        <x:f>IF(J253&lt;0.90,"Stockout","Healthy")</x:f>
        <x:v>Healthy</x:v>
      </x:c>
    </x:row>
    <x:row r="254">
      <x:c r="A254" s="12" t="n">
        <x:v>46143</x:v>
      </x:c>
      <x:c r="B254" s="10" t="str">
        <x:v>Store 201</x:v>
      </x:c>
      <x:c r="C254" s="10" t="str">
        <x:v>East</x:v>
      </x:c>
      <x:c r="D254" s="10" t="str">
        <x:v>Pain Relief</x:v>
      </x:c>
      <x:c r="E254" s="10" t="n">
        <x:v>55</x:v>
      </x:c>
      <x:c r="F254" s="10" t="n">
        <x:v>52</x:v>
      </x:c>
      <x:c r="G254" s="10" t="n">
        <x:v>139</x:v>
      </x:c>
      <x:c r="H254" s="14" t="n">
        <x:v>14.72</x:v>
      </x:c>
      <x:c r="I254" s="14" t="n">
        <x:f>G254*H254</x:f>
        <x:v>2046.0800000000002</x:v>
      </x:c>
      <x:c r="J254" s="16" t="n">
        <x:f>IFERROR(F254/E254,0)</x:f>
        <x:v>0.9454545454545454</x:v>
      </x:c>
      <x:c r="K254" s="10" t="str">
        <x:f>IF(J254&lt;0.90,"Stockout","Healthy")</x:f>
        <x:v>Healthy</x:v>
      </x:c>
    </x:row>
    <x:row r="255">
      <x:c r="A255" s="12" t="n">
        <x:v>46143</x:v>
      </x:c>
      <x:c r="B255" s="10" t="str">
        <x:v>Store 201</x:v>
      </x:c>
      <x:c r="C255" s="10" t="str">
        <x:v>East</x:v>
      </x:c>
      <x:c r="D255" s="10" t="str">
        <x:v>Cold &amp; Cough</x:v>
      </x:c>
      <x:c r="E255" s="10" t="n">
        <x:v>58</x:v>
      </x:c>
      <x:c r="F255" s="10" t="n">
        <x:v>55</x:v>
      </x:c>
      <x:c r="G255" s="10" t="n">
        <x:v>129</x:v>
      </x:c>
      <x:c r="H255" s="14" t="n">
        <x:v>15.5</x:v>
      </x:c>
      <x:c r="I255" s="14" t="n">
        <x:f>G255*H255</x:f>
        <x:v>1999.5</x:v>
      </x:c>
      <x:c r="J255" s="16" t="n">
        <x:f>IFERROR(F255/E255,0)</x:f>
        <x:v>0.9482758620689655</x:v>
      </x:c>
      <x:c r="K255" s="10" t="str">
        <x:f>IF(J255&lt;0.90,"Stockout","Healthy")</x:f>
        <x:v>Healthy</x:v>
      </x:c>
    </x:row>
    <x:row r="256">
      <x:c r="A256" s="12" t="n">
        <x:v>46143</x:v>
      </x:c>
      <x:c r="B256" s="10" t="str">
        <x:v>Store 201</x:v>
      </x:c>
      <x:c r="C256" s="10" t="str">
        <x:v>East</x:v>
      </x:c>
      <x:c r="D256" s="10" t="str">
        <x:v>Digestive Care</x:v>
      </x:c>
      <x:c r="E256" s="10" t="n">
        <x:v>49</x:v>
      </x:c>
      <x:c r="F256" s="10" t="n">
        <x:v>49</x:v>
      </x:c>
      <x:c r="G256" s="10" t="n">
        <x:v>90</x:v>
      </x:c>
      <x:c r="H256" s="14" t="n">
        <x:v>19.27</x:v>
      </x:c>
      <x:c r="I256" s="14" t="n">
        <x:f>G256*H256</x:f>
        <x:v>1734.3</x:v>
      </x:c>
      <x:c r="J256" s="16" t="n">
        <x:f>IFERROR(F256/E256,0)</x:f>
        <x:v>1</x:v>
      </x:c>
      <x:c r="K256" s="10" t="str">
        <x:f>IF(J256&lt;0.90,"Stockout","Healthy")</x:f>
        <x:v>Healthy</x:v>
      </x:c>
    </x:row>
    <x:row r="257">
      <x:c r="A257" s="12" t="n">
        <x:v>46143</x:v>
      </x:c>
      <x:c r="B257" s="10" t="str">
        <x:v>Store 201</x:v>
      </x:c>
      <x:c r="C257" s="10" t="str">
        <x:v>East</x:v>
      </x:c>
      <x:c r="D257" s="10" t="str">
        <x:v>First Aid</x:v>
      </x:c>
      <x:c r="E257" s="10" t="n">
        <x:v>41</x:v>
      </x:c>
      <x:c r="F257" s="10" t="n">
        <x:v>37</x:v>
      </x:c>
      <x:c r="G257" s="10" t="n">
        <x:v>122</x:v>
      </x:c>
      <x:c r="H257" s="14" t="n">
        <x:v>9.88</x:v>
      </x:c>
      <x:c r="I257" s="14" t="n">
        <x:f>G257*H257</x:f>
        <x:v>1205.3600000000001</x:v>
      </x:c>
      <x:c r="J257" s="16" t="n">
        <x:f>IFERROR(F257/E257,0)</x:f>
        <x:v>0.9024390243902439</x:v>
      </x:c>
      <x:c r="K257" s="10" t="str">
        <x:f>IF(J257&lt;0.90,"Stockout","Healthy")</x:f>
        <x:v>Healthy</x:v>
      </x:c>
    </x:row>
    <x:row r="258">
      <x:c r="A258" s="12" t="n">
        <x:v>46143</x:v>
      </x:c>
      <x:c r="B258" s="10" t="str">
        <x:v>Store 201</x:v>
      </x:c>
      <x:c r="C258" s="10" t="str">
        <x:v>East</x:v>
      </x:c>
      <x:c r="D258" s="10" t="str">
        <x:v>Vitamins</x:v>
      </x:c>
      <x:c r="E258" s="10" t="n">
        <x:v>53</x:v>
      </x:c>
      <x:c r="F258" s="10" t="n">
        <x:v>50</x:v>
      </x:c>
      <x:c r="G258" s="10" t="n">
        <x:v>179</x:v>
      </x:c>
      <x:c r="H258" s="14" t="n">
        <x:v>23.51</x:v>
      </x:c>
      <x:c r="I258" s="14" t="n">
        <x:f>G258*H258</x:f>
        <x:v>4208.29</x:v>
      </x:c>
      <x:c r="J258" s="16" t="n">
        <x:f>IFERROR(F258/E258,0)</x:f>
        <x:v>0.9433962264150944</x:v>
      </x:c>
      <x:c r="K258" s="10" t="str">
        <x:f>IF(J258&lt;0.90,"Stockout","Healthy")</x:f>
        <x:v>Healthy</x:v>
      </x:c>
    </x:row>
    <x:row r="259">
      <x:c r="A259" s="12" t="n">
        <x:v>46143</x:v>
      </x:c>
      <x:c r="B259" s="10" t="str">
        <x:v>Store 201</x:v>
      </x:c>
      <x:c r="C259" s="10" t="str">
        <x:v>East</x:v>
      </x:c>
      <x:c r="D259" s="10" t="str">
        <x:v>Personal Care</x:v>
      </x:c>
      <x:c r="E259" s="10" t="n">
        <x:v>55</x:v>
      </x:c>
      <x:c r="F259" s="10" t="n">
        <x:v>54</x:v>
      </x:c>
      <x:c r="G259" s="10" t="n">
        <x:v>107</x:v>
      </x:c>
      <x:c r="H259" s="14" t="n">
        <x:v>13.18</x:v>
      </x:c>
      <x:c r="I259" s="14" t="n">
        <x:f>G259*H259</x:f>
        <x:v>1410.26</x:v>
      </x:c>
      <x:c r="J259" s="16" t="n">
        <x:f>IFERROR(F259/E259,0)</x:f>
        <x:v>0.9818181818181818</x:v>
      </x:c>
      <x:c r="K259" s="10" t="str">
        <x:f>IF(J259&lt;0.90,"Stockout","Healthy")</x:f>
        <x:v>Healthy</x:v>
      </x:c>
    </x:row>
    <x:row r="260">
      <x:c r="A260" s="12" t="n">
        <x:v>46143</x:v>
      </x:c>
      <x:c r="B260" s="10" t="str">
        <x:v>Store 202</x:v>
      </x:c>
      <x:c r="C260" s="10" t="str">
        <x:v>East</x:v>
      </x:c>
      <x:c r="D260" s="10" t="str">
        <x:v>Pain Relief</x:v>
      </x:c>
      <x:c r="E260" s="10" t="n">
        <x:v>54</x:v>
      </x:c>
      <x:c r="F260" s="10" t="n">
        <x:v>53</x:v>
      </x:c>
      <x:c r="G260" s="10" t="n">
        <x:v>151</x:v>
      </x:c>
      <x:c r="H260" s="14" t="n">
        <x:v>12.25</x:v>
      </x:c>
      <x:c r="I260" s="14" t="n">
        <x:f>G260*H260</x:f>
        <x:v>1849.75</x:v>
      </x:c>
      <x:c r="J260" s="16" t="n">
        <x:f>IFERROR(F260/E260,0)</x:f>
        <x:v>0.9814814814814815</x:v>
      </x:c>
      <x:c r="K260" s="10" t="str">
        <x:f>IF(J260&lt;0.90,"Stockout","Healthy")</x:f>
        <x:v>Healthy</x:v>
      </x:c>
    </x:row>
    <x:row r="261">
      <x:c r="A261" s="12" t="n">
        <x:v>46143</x:v>
      </x:c>
      <x:c r="B261" s="10" t="str">
        <x:v>Store 202</x:v>
      </x:c>
      <x:c r="C261" s="10" t="str">
        <x:v>East</x:v>
      </x:c>
      <x:c r="D261" s="10" t="str">
        <x:v>Cold &amp; Cough</x:v>
      </x:c>
      <x:c r="E261" s="10" t="n">
        <x:v>45</x:v>
      </x:c>
      <x:c r="F261" s="10" t="n">
        <x:v>42</x:v>
      </x:c>
      <x:c r="G261" s="10" t="n">
        <x:v>129</x:v>
      </x:c>
      <x:c r="H261" s="14" t="n">
        <x:v>14.47</x:v>
      </x:c>
      <x:c r="I261" s="14" t="n">
        <x:f>G261*H261</x:f>
        <x:v>1866.63</x:v>
      </x:c>
      <x:c r="J261" s="16" t="n">
        <x:f>IFERROR(F261/E261,0)</x:f>
        <x:v>0.9333333333333333</x:v>
      </x:c>
      <x:c r="K261" s="10" t="str">
        <x:f>IF(J261&lt;0.90,"Stockout","Healthy")</x:f>
        <x:v>Healthy</x:v>
      </x:c>
    </x:row>
    <x:row r="262">
      <x:c r="A262" s="12" t="n">
        <x:v>46143</x:v>
      </x:c>
      <x:c r="B262" s="10" t="str">
        <x:v>Store 202</x:v>
      </x:c>
      <x:c r="C262" s="10" t="str">
        <x:v>East</x:v>
      </x:c>
      <x:c r="D262" s="10" t="str">
        <x:v>Digestive Care</x:v>
      </x:c>
      <x:c r="E262" s="10" t="n">
        <x:v>57</x:v>
      </x:c>
      <x:c r="F262" s="10" t="n">
        <x:v>52</x:v>
      </x:c>
      <x:c r="G262" s="10" t="n">
        <x:v>148</x:v>
      </x:c>
      <x:c r="H262" s="14" t="n">
        <x:v>19.31</x:v>
      </x:c>
      <x:c r="I262" s="14" t="n">
        <x:f>G262*H262</x:f>
        <x:v>2857.8799999999997</x:v>
      </x:c>
      <x:c r="J262" s="16" t="n">
        <x:f>IFERROR(F262/E262,0)</x:f>
        <x:v>0.9122807017543859</x:v>
      </x:c>
      <x:c r="K262" s="10" t="str">
        <x:f>IF(J262&lt;0.90,"Stockout","Healthy")</x:f>
        <x:v>Healthy</x:v>
      </x:c>
    </x:row>
    <x:row r="263">
      <x:c r="A263" s="12" t="n">
        <x:v>46143</x:v>
      </x:c>
      <x:c r="B263" s="10" t="str">
        <x:v>Store 202</x:v>
      </x:c>
      <x:c r="C263" s="10" t="str">
        <x:v>East</x:v>
      </x:c>
      <x:c r="D263" s="10" t="str">
        <x:v>First Aid</x:v>
      </x:c>
      <x:c r="E263" s="10" t="n">
        <x:v>45</x:v>
      </x:c>
      <x:c r="F263" s="10" t="n">
        <x:v>38</x:v>
      </x:c>
      <x:c r="G263" s="10" t="n">
        <x:v>129</x:v>
      </x:c>
      <x:c r="H263" s="14" t="n">
        <x:v>10.29</x:v>
      </x:c>
      <x:c r="I263" s="14" t="n">
        <x:f>G263*H263</x:f>
        <x:v>1327.4099999999999</x:v>
      </x:c>
      <x:c r="J263" s="16" t="n">
        <x:f>IFERROR(F263/E263,0)</x:f>
        <x:v>0.8444444444444444</x:v>
      </x:c>
      <x:c r="K263" s="10" t="str">
        <x:f>IF(J263&lt;0.90,"Stockout","Healthy")</x:f>
        <x:v>Stockout</x:v>
      </x:c>
    </x:row>
    <x:row r="264">
      <x:c r="A264" s="12" t="n">
        <x:v>46143</x:v>
      </x:c>
      <x:c r="B264" s="10" t="str">
        <x:v>Store 202</x:v>
      </x:c>
      <x:c r="C264" s="10" t="str">
        <x:v>East</x:v>
      </x:c>
      <x:c r="D264" s="10" t="str">
        <x:v>Vitamins</x:v>
      </x:c>
      <x:c r="E264" s="10" t="n">
        <x:v>42</x:v>
      </x:c>
      <x:c r="F264" s="10" t="n">
        <x:v>42</x:v>
      </x:c>
      <x:c r="G264" s="10" t="n">
        <x:v>109</x:v>
      </x:c>
      <x:c r="H264" s="14" t="n">
        <x:v>24.48</x:v>
      </x:c>
      <x:c r="I264" s="14" t="n">
        <x:f>G264*H264</x:f>
        <x:v>2668.32</x:v>
      </x:c>
      <x:c r="J264" s="16" t="n">
        <x:f>IFERROR(F264/E264,0)</x:f>
        <x:v>1</x:v>
      </x:c>
      <x:c r="K264" s="10" t="str">
        <x:f>IF(J264&lt;0.90,"Stockout","Healthy")</x:f>
        <x:v>Healthy</x:v>
      </x:c>
    </x:row>
    <x:row r="265">
      <x:c r="A265" s="12" t="n">
        <x:v>46143</x:v>
      </x:c>
      <x:c r="B265" s="10" t="str">
        <x:v>Store 202</x:v>
      </x:c>
      <x:c r="C265" s="10" t="str">
        <x:v>East</x:v>
      </x:c>
      <x:c r="D265" s="10" t="str">
        <x:v>Personal Care</x:v>
      </x:c>
      <x:c r="E265" s="10" t="n">
        <x:v>43</x:v>
      </x:c>
      <x:c r="F265" s="10" t="n">
        <x:v>41</x:v>
      </x:c>
      <x:c r="G265" s="10" t="n">
        <x:v>117</x:v>
      </x:c>
      <x:c r="H265" s="14" t="n">
        <x:v>11.1</x:v>
      </x:c>
      <x:c r="I265" s="14" t="n">
        <x:f>G265*H265</x:f>
        <x:v>1298.7</x:v>
      </x:c>
      <x:c r="J265" s="16" t="n">
        <x:f>IFERROR(F265/E265,0)</x:f>
        <x:v>0.9534883720930233</x:v>
      </x:c>
      <x:c r="K265" s="10" t="str">
        <x:f>IF(J265&lt;0.90,"Stockout","Healthy")</x:f>
        <x:v>Healthy</x:v>
      </x:c>
    </x:row>
    <x:row r="266">
      <x:c r="A266" s="12" t="n">
        <x:v>46143</x:v>
      </x:c>
      <x:c r="B266" s="10" t="str">
        <x:v>Store 301</x:v>
      </x:c>
      <x:c r="C266" s="10" t="str">
        <x:v>West</x:v>
      </x:c>
      <x:c r="D266" s="10" t="str">
        <x:v>Pain Relief</x:v>
      </x:c>
      <x:c r="E266" s="10" t="n">
        <x:v>36</x:v>
      </x:c>
      <x:c r="F266" s="10" t="n">
        <x:v>36</x:v>
      </x:c>
      <x:c r="G266" s="10" t="n">
        <x:v>170</x:v>
      </x:c>
      <x:c r="H266" s="14" t="n">
        <x:v>14.7</x:v>
      </x:c>
      <x:c r="I266" s="14" t="n">
        <x:f>G266*H266</x:f>
        <x:v>2499</x:v>
      </x:c>
      <x:c r="J266" s="16" t="n">
        <x:f>IFERROR(F266/E266,0)</x:f>
        <x:v>1</x:v>
      </x:c>
      <x:c r="K266" s="10" t="str">
        <x:f>IF(J266&lt;0.90,"Stockout","Healthy")</x:f>
        <x:v>Healthy</x:v>
      </x:c>
    </x:row>
    <x:row r="267">
      <x:c r="A267" s="12" t="n">
        <x:v>46143</x:v>
      </x:c>
      <x:c r="B267" s="10" t="str">
        <x:v>Store 301</x:v>
      </x:c>
      <x:c r="C267" s="10" t="str">
        <x:v>West</x:v>
      </x:c>
      <x:c r="D267" s="10" t="str">
        <x:v>Cold &amp; Cough</x:v>
      </x:c>
      <x:c r="E267" s="10" t="n">
        <x:v>57</x:v>
      </x:c>
      <x:c r="F267" s="10" t="n">
        <x:v>53</x:v>
      </x:c>
      <x:c r="G267" s="10" t="n">
        <x:v>98</x:v>
      </x:c>
      <x:c r="H267" s="14" t="n">
        <x:v>16.29</x:v>
      </x:c>
      <x:c r="I267" s="14" t="n">
        <x:f>G267*H267</x:f>
        <x:v>1596.4199999999998</x:v>
      </x:c>
      <x:c r="J267" s="16" t="n">
        <x:f>IFERROR(F267/E267,0)</x:f>
        <x:v>0.9298245614035088</x:v>
      </x:c>
      <x:c r="K267" s="10" t="str">
        <x:f>IF(J267&lt;0.90,"Stockout","Healthy")</x:f>
        <x:v>Healthy</x:v>
      </x:c>
    </x:row>
    <x:row r="268">
      <x:c r="A268" s="12" t="n">
        <x:v>46143</x:v>
      </x:c>
      <x:c r="B268" s="10" t="str">
        <x:v>Store 301</x:v>
      </x:c>
      <x:c r="C268" s="10" t="str">
        <x:v>West</x:v>
      </x:c>
      <x:c r="D268" s="10" t="str">
        <x:v>Digestive Care</x:v>
      </x:c>
      <x:c r="E268" s="10" t="n">
        <x:v>51</x:v>
      </x:c>
      <x:c r="F268" s="10" t="n">
        <x:v>45</x:v>
      </x:c>
      <x:c r="G268" s="10" t="n">
        <x:v>153</x:v>
      </x:c>
      <x:c r="H268" s="14" t="n">
        <x:v>16.26</x:v>
      </x:c>
      <x:c r="I268" s="14" t="n">
        <x:f>G268*H268</x:f>
        <x:v>2487.78</x:v>
      </x:c>
      <x:c r="J268" s="16" t="n">
        <x:f>IFERROR(F268/E268,0)</x:f>
        <x:v>0.8823529411764706</x:v>
      </x:c>
      <x:c r="K268" s="10" t="str">
        <x:f>IF(J268&lt;0.90,"Stockout","Healthy")</x:f>
        <x:v>Stockout</x:v>
      </x:c>
    </x:row>
    <x:row r="269">
      <x:c r="A269" s="12" t="n">
        <x:v>46143</x:v>
      </x:c>
      <x:c r="B269" s="10" t="str">
        <x:v>Store 301</x:v>
      </x:c>
      <x:c r="C269" s="10" t="str">
        <x:v>West</x:v>
      </x:c>
      <x:c r="D269" s="10" t="str">
        <x:v>First Aid</x:v>
      </x:c>
      <x:c r="E269" s="10" t="n">
        <x:v>51</x:v>
      </x:c>
      <x:c r="F269" s="10" t="n">
        <x:v>50</x:v>
      </x:c>
      <x:c r="G269" s="10" t="n">
        <x:v>137</x:v>
      </x:c>
      <x:c r="H269" s="14" t="n">
        <x:v>10.12</x:v>
      </x:c>
      <x:c r="I269" s="14" t="n">
        <x:f>G269*H269</x:f>
        <x:v>1386.4399999999998</x:v>
      </x:c>
      <x:c r="J269" s="16" t="n">
        <x:f>IFERROR(F269/E269,0)</x:f>
        <x:v>0.9803921568627451</x:v>
      </x:c>
      <x:c r="K269" s="10" t="str">
        <x:f>IF(J269&lt;0.90,"Stockout","Healthy")</x:f>
        <x:v>Healthy</x:v>
      </x:c>
    </x:row>
    <x:row r="270">
      <x:c r="A270" s="12" t="n">
        <x:v>46143</x:v>
      </x:c>
      <x:c r="B270" s="10" t="str">
        <x:v>Store 301</x:v>
      </x:c>
      <x:c r="C270" s="10" t="str">
        <x:v>West</x:v>
      </x:c>
      <x:c r="D270" s="10" t="str">
        <x:v>Vitamins</x:v>
      </x:c>
      <x:c r="E270" s="10" t="n">
        <x:v>42</x:v>
      </x:c>
      <x:c r="F270" s="10" t="n">
        <x:v>37</x:v>
      </x:c>
      <x:c r="G270" s="10" t="n">
        <x:v>96</x:v>
      </x:c>
      <x:c r="H270" s="14" t="n">
        <x:v>24.35</x:v>
      </x:c>
      <x:c r="I270" s="14" t="n">
        <x:f>G270*H270</x:f>
        <x:v>2337.6000000000004</x:v>
      </x:c>
      <x:c r="J270" s="16" t="n">
        <x:f>IFERROR(F270/E270,0)</x:f>
        <x:v>0.8809523809523809</x:v>
      </x:c>
      <x:c r="K270" s="10" t="str">
        <x:f>IF(J270&lt;0.90,"Stockout","Healthy")</x:f>
        <x:v>Stockout</x:v>
      </x:c>
    </x:row>
    <x:row r="271">
      <x:c r="A271" s="12" t="n">
        <x:v>46143</x:v>
      </x:c>
      <x:c r="B271" s="10" t="str">
        <x:v>Store 301</x:v>
      </x:c>
      <x:c r="C271" s="10" t="str">
        <x:v>West</x:v>
      </x:c>
      <x:c r="D271" s="10" t="str">
        <x:v>Personal Care</x:v>
      </x:c>
      <x:c r="E271" s="10" t="n">
        <x:v>37</x:v>
      </x:c>
      <x:c r="F271" s="10" t="n">
        <x:v>34</x:v>
      </x:c>
      <x:c r="G271" s="10" t="n">
        <x:v>95</x:v>
      </x:c>
      <x:c r="H271" s="14" t="n">
        <x:v>12.44</x:v>
      </x:c>
      <x:c r="I271" s="14" t="n">
        <x:f>G271*H271</x:f>
        <x:v>1181.8</x:v>
      </x:c>
      <x:c r="J271" s="16" t="n">
        <x:f>IFERROR(F271/E271,0)</x:f>
        <x:v>0.918918918918919</x:v>
      </x:c>
      <x:c r="K271" s="10" t="str">
        <x:f>IF(J271&lt;0.90,"Stockout","Healthy")</x:f>
        <x:v>Healthy</x:v>
      </x:c>
    </x:row>
    <x:row r="272">
      <x:c r="A272" s="12" t="n">
        <x:v>46143</x:v>
      </x:c>
      <x:c r="B272" s="10" t="str">
        <x:v>Store 302</x:v>
      </x:c>
      <x:c r="C272" s="10" t="str">
        <x:v>West</x:v>
      </x:c>
      <x:c r="D272" s="10" t="str">
        <x:v>Pain Relief</x:v>
      </x:c>
      <x:c r="E272" s="10" t="n">
        <x:v>51</x:v>
      </x:c>
      <x:c r="F272" s="10" t="n">
        <x:v>47</x:v>
      </x:c>
      <x:c r="G272" s="10" t="n">
        <x:v>154</x:v>
      </x:c>
      <x:c r="H272" s="14" t="n">
        <x:v>14.07</x:v>
      </x:c>
      <x:c r="I272" s="14" t="n">
        <x:f>G272*H272</x:f>
        <x:v>2166.78</x:v>
      </x:c>
      <x:c r="J272" s="16" t="n">
        <x:f>IFERROR(F272/E272,0)</x:f>
        <x:v>0.9215686274509803</x:v>
      </x:c>
      <x:c r="K272" s="10" t="str">
        <x:f>IF(J272&lt;0.90,"Stockout","Healthy")</x:f>
        <x:v>Healthy</x:v>
      </x:c>
    </x:row>
    <x:row r="273">
      <x:c r="A273" s="12" t="n">
        <x:v>46143</x:v>
      </x:c>
      <x:c r="B273" s="10" t="str">
        <x:v>Store 302</x:v>
      </x:c>
      <x:c r="C273" s="10" t="str">
        <x:v>West</x:v>
      </x:c>
      <x:c r="D273" s="10" t="str">
        <x:v>Cold &amp; Cough</x:v>
      </x:c>
      <x:c r="E273" s="10" t="n">
        <x:v>54</x:v>
      </x:c>
      <x:c r="F273" s="10" t="n">
        <x:v>53</x:v>
      </x:c>
      <x:c r="G273" s="10" t="n">
        <x:v>74</x:v>
      </x:c>
      <x:c r="H273" s="14" t="n">
        <x:v>14.5</x:v>
      </x:c>
      <x:c r="I273" s="14" t="n">
        <x:f>G273*H273</x:f>
        <x:v>1073</x:v>
      </x:c>
      <x:c r="J273" s="16" t="n">
        <x:f>IFERROR(F273/E273,0)</x:f>
        <x:v>0.9814814814814815</x:v>
      </x:c>
      <x:c r="K273" s="10" t="str">
        <x:f>IF(J273&lt;0.90,"Stockout","Healthy")</x:f>
        <x:v>Healthy</x:v>
      </x:c>
    </x:row>
    <x:row r="274">
      <x:c r="A274" s="12" t="n">
        <x:v>46143</x:v>
      </x:c>
      <x:c r="B274" s="10" t="str">
        <x:v>Store 302</x:v>
      </x:c>
      <x:c r="C274" s="10" t="str">
        <x:v>West</x:v>
      </x:c>
      <x:c r="D274" s="10" t="str">
        <x:v>Digestive Care</x:v>
      </x:c>
      <x:c r="E274" s="10" t="n">
        <x:v>47</x:v>
      </x:c>
      <x:c r="F274" s="10" t="n">
        <x:v>45</x:v>
      </x:c>
      <x:c r="G274" s="10" t="n">
        <x:v>128</x:v>
      </x:c>
      <x:c r="H274" s="14" t="n">
        <x:v>16.35</x:v>
      </x:c>
      <x:c r="I274" s="14" t="n">
        <x:f>G274*H274</x:f>
        <x:v>2092.8</x:v>
      </x:c>
      <x:c r="J274" s="16" t="n">
        <x:f>IFERROR(F274/E274,0)</x:f>
        <x:v>0.9574468085106383</x:v>
      </x:c>
      <x:c r="K274" s="10" t="str">
        <x:f>IF(J274&lt;0.90,"Stockout","Healthy")</x:f>
        <x:v>Healthy</x:v>
      </x:c>
    </x:row>
    <x:row r="275">
      <x:c r="A275" s="12" t="n">
        <x:v>46143</x:v>
      </x:c>
      <x:c r="B275" s="10" t="str">
        <x:v>Store 302</x:v>
      </x:c>
      <x:c r="C275" s="10" t="str">
        <x:v>West</x:v>
      </x:c>
      <x:c r="D275" s="10" t="str">
        <x:v>First Aid</x:v>
      </x:c>
      <x:c r="E275" s="10" t="n">
        <x:v>49</x:v>
      </x:c>
      <x:c r="F275" s="10" t="n">
        <x:v>47</x:v>
      </x:c>
      <x:c r="G275" s="10" t="n">
        <x:v>135</x:v>
      </x:c>
      <x:c r="H275" s="14" t="n">
        <x:v>9.67</x:v>
      </x:c>
      <x:c r="I275" s="14" t="n">
        <x:f>G275*H275</x:f>
        <x:v>1305.45</x:v>
      </x:c>
      <x:c r="J275" s="16" t="n">
        <x:f>IFERROR(F275/E275,0)</x:f>
        <x:v>0.9591836734693877</x:v>
      </x:c>
      <x:c r="K275" s="10" t="str">
        <x:f>IF(J275&lt;0.90,"Stockout","Healthy")</x:f>
        <x:v>Healthy</x:v>
      </x:c>
    </x:row>
    <x:row r="276">
      <x:c r="A276" s="12" t="n">
        <x:v>46143</x:v>
      </x:c>
      <x:c r="B276" s="10" t="str">
        <x:v>Store 302</x:v>
      </x:c>
      <x:c r="C276" s="10" t="str">
        <x:v>West</x:v>
      </x:c>
      <x:c r="D276" s="10" t="str">
        <x:v>Vitamins</x:v>
      </x:c>
      <x:c r="E276" s="10" t="n">
        <x:v>46</x:v>
      </x:c>
      <x:c r="F276" s="10" t="n">
        <x:v>40</x:v>
      </x:c>
      <x:c r="G276" s="10" t="n">
        <x:v>134</x:v>
      </x:c>
      <x:c r="H276" s="14" t="n">
        <x:v>23.4</x:v>
      </x:c>
      <x:c r="I276" s="14" t="n">
        <x:f>G276*H276</x:f>
        <x:v>3135.6</x:v>
      </x:c>
      <x:c r="J276" s="16" t="n">
        <x:f>IFERROR(F276/E276,0)</x:f>
        <x:v>0.8695652173913043</x:v>
      </x:c>
      <x:c r="K276" s="10" t="str">
        <x:f>IF(J276&lt;0.90,"Stockout","Healthy")</x:f>
        <x:v>Stockout</x:v>
      </x:c>
    </x:row>
    <x:row r="277">
      <x:c r="A277" s="12" t="n">
        <x:v>46143</x:v>
      </x:c>
      <x:c r="B277" s="10" t="str">
        <x:v>Store 302</x:v>
      </x:c>
      <x:c r="C277" s="10" t="str">
        <x:v>West</x:v>
      </x:c>
      <x:c r="D277" s="10" t="str">
        <x:v>Personal Care</x:v>
      </x:c>
      <x:c r="E277" s="10" t="n">
        <x:v>51</x:v>
      </x:c>
      <x:c r="F277" s="10" t="n">
        <x:v>45</x:v>
      </x:c>
      <x:c r="G277" s="10" t="n">
        <x:v>143</x:v>
      </x:c>
      <x:c r="H277" s="14" t="n">
        <x:v>11.21</x:v>
      </x:c>
      <x:c r="I277" s="14" t="n">
        <x:f>G277*H277</x:f>
        <x:v>1603.0300000000002</x:v>
      </x:c>
      <x:c r="J277" s="16" t="n">
        <x:f>IFERROR(F277/E277,0)</x:f>
        <x:v>0.8823529411764706</x:v>
      </x:c>
      <x:c r="K277" s="10" t="str">
        <x:f>IF(J277&lt;0.90,"Stockout","Healthy")</x:f>
        <x:v>Stockout</x:v>
      </x:c>
    </x:row>
    <x:row r="278">
      <x:c r="A278" s="12" t="n">
        <x:v>46143</x:v>
      </x:c>
      <x:c r="B278" s="10" t="str">
        <x:v>Store 401</x:v>
      </x:c>
      <x:c r="C278" s="10" t="str">
        <x:v>North</x:v>
      </x:c>
      <x:c r="D278" s="10" t="str">
        <x:v>Pain Relief</x:v>
      </x:c>
      <x:c r="E278" s="10" t="n">
        <x:v>47</x:v>
      </x:c>
      <x:c r="F278" s="10" t="n">
        <x:v>42</x:v>
      </x:c>
      <x:c r="G278" s="10" t="n">
        <x:v>87</x:v>
      </x:c>
      <x:c r="H278" s="14" t="n">
        <x:v>13.98</x:v>
      </x:c>
      <x:c r="I278" s="14" t="n">
        <x:f>G278*H278</x:f>
        <x:v>1216.26</x:v>
      </x:c>
      <x:c r="J278" s="16" t="n">
        <x:f>IFERROR(F278/E278,0)</x:f>
        <x:v>0.8936170212765957</x:v>
      </x:c>
      <x:c r="K278" s="10" t="str">
        <x:f>IF(J278&lt;0.90,"Stockout","Healthy")</x:f>
        <x:v>Stockout</x:v>
      </x:c>
    </x:row>
    <x:row r="279">
      <x:c r="A279" s="12" t="n">
        <x:v>46143</x:v>
      </x:c>
      <x:c r="B279" s="10" t="str">
        <x:v>Store 401</x:v>
      </x:c>
      <x:c r="C279" s="10" t="str">
        <x:v>North</x:v>
      </x:c>
      <x:c r="D279" s="10" t="str">
        <x:v>Cold &amp; Cough</x:v>
      </x:c>
      <x:c r="E279" s="10" t="n">
        <x:v>42</x:v>
      </x:c>
      <x:c r="F279" s="10" t="n">
        <x:v>41</x:v>
      </x:c>
      <x:c r="G279" s="10" t="n">
        <x:v>131</x:v>
      </x:c>
      <x:c r="H279" s="14" t="n">
        <x:v>14.96</x:v>
      </x:c>
      <x:c r="I279" s="14" t="n">
        <x:f>G279*H279</x:f>
        <x:v>1959.7600000000002</x:v>
      </x:c>
      <x:c r="J279" s="16" t="n">
        <x:f>IFERROR(F279/E279,0)</x:f>
        <x:v>0.9761904761904762</x:v>
      </x:c>
      <x:c r="K279" s="10" t="str">
        <x:f>IF(J279&lt;0.90,"Stockout","Healthy")</x:f>
        <x:v>Healthy</x:v>
      </x:c>
    </x:row>
    <x:row r="280">
      <x:c r="A280" s="12" t="n">
        <x:v>46143</x:v>
      </x:c>
      <x:c r="B280" s="10" t="str">
        <x:v>Store 401</x:v>
      </x:c>
      <x:c r="C280" s="10" t="str">
        <x:v>North</x:v>
      </x:c>
      <x:c r="D280" s="10" t="str">
        <x:v>Digestive Care</x:v>
      </x:c>
      <x:c r="E280" s="10" t="n">
        <x:v>41</x:v>
      </x:c>
      <x:c r="F280" s="10" t="n">
        <x:v>39</x:v>
      </x:c>
      <x:c r="G280" s="10" t="n">
        <x:v>118</x:v>
      </x:c>
      <x:c r="H280" s="14" t="n">
        <x:v>18.92</x:v>
      </x:c>
      <x:c r="I280" s="14" t="n">
        <x:f>G280*H280</x:f>
        <x:v>2232.5600000000004</x:v>
      </x:c>
      <x:c r="J280" s="16" t="n">
        <x:f>IFERROR(F280/E280,0)</x:f>
        <x:v>0.9512195121951219</x:v>
      </x:c>
      <x:c r="K280" s="10" t="str">
        <x:f>IF(J280&lt;0.90,"Stockout","Healthy")</x:f>
        <x:v>Healthy</x:v>
      </x:c>
    </x:row>
    <x:row r="281">
      <x:c r="A281" s="12" t="n">
        <x:v>46143</x:v>
      </x:c>
      <x:c r="B281" s="10" t="str">
        <x:v>Store 401</x:v>
      </x:c>
      <x:c r="C281" s="10" t="str">
        <x:v>North</x:v>
      </x:c>
      <x:c r="D281" s="10" t="str">
        <x:v>First Aid</x:v>
      </x:c>
      <x:c r="E281" s="10" t="n">
        <x:v>51</x:v>
      </x:c>
      <x:c r="F281" s="10" t="n">
        <x:v>50</x:v>
      </x:c>
      <x:c r="G281" s="10" t="n">
        <x:v>106</x:v>
      </x:c>
      <x:c r="H281" s="14" t="n">
        <x:v>8.68</x:v>
      </x:c>
      <x:c r="I281" s="14" t="n">
        <x:f>G281*H281</x:f>
        <x:v>920.0799999999999</x:v>
      </x:c>
      <x:c r="J281" s="16" t="n">
        <x:f>IFERROR(F281/E281,0)</x:f>
        <x:v>0.9803921568627451</x:v>
      </x:c>
      <x:c r="K281" s="10" t="str">
        <x:f>IF(J281&lt;0.90,"Stockout","Healthy")</x:f>
        <x:v>Healthy</x:v>
      </x:c>
    </x:row>
    <x:row r="282">
      <x:c r="A282" s="12" t="n">
        <x:v>46143</x:v>
      </x:c>
      <x:c r="B282" s="10" t="str">
        <x:v>Store 401</x:v>
      </x:c>
      <x:c r="C282" s="10" t="str">
        <x:v>North</x:v>
      </x:c>
      <x:c r="D282" s="10" t="str">
        <x:v>Vitamins</x:v>
      </x:c>
      <x:c r="E282" s="10" t="n">
        <x:v>42</x:v>
      </x:c>
      <x:c r="F282" s="10" t="n">
        <x:v>40</x:v>
      </x:c>
      <x:c r="G282" s="10" t="n">
        <x:v>138</x:v>
      </x:c>
      <x:c r="H282" s="14" t="n">
        <x:v>23.9</x:v>
      </x:c>
      <x:c r="I282" s="14" t="n">
        <x:f>G282*H282</x:f>
        <x:v>3298.2</x:v>
      </x:c>
      <x:c r="J282" s="16" t="n">
        <x:f>IFERROR(F282/E282,0)</x:f>
        <x:v>0.9523809523809523</x:v>
      </x:c>
      <x:c r="K282" s="10" t="str">
        <x:f>IF(J282&lt;0.90,"Stockout","Healthy")</x:f>
        <x:v>Healthy</x:v>
      </x:c>
    </x:row>
    <x:row r="283">
      <x:c r="A283" s="12" t="n">
        <x:v>46143</x:v>
      </x:c>
      <x:c r="B283" s="10" t="str">
        <x:v>Store 401</x:v>
      </x:c>
      <x:c r="C283" s="10" t="str">
        <x:v>North</x:v>
      </x:c>
      <x:c r="D283" s="10" t="str">
        <x:v>Personal Care</x:v>
      </x:c>
      <x:c r="E283" s="10" t="n">
        <x:v>48</x:v>
      </x:c>
      <x:c r="F283" s="10" t="n">
        <x:v>47</x:v>
      </x:c>
      <x:c r="G283" s="10" t="n">
        <x:v>136</x:v>
      </x:c>
      <x:c r="H283" s="14" t="n">
        <x:v>12.49</x:v>
      </x:c>
      <x:c r="I283" s="14" t="n">
        <x:f>G283*H283</x:f>
        <x:v>1698.64</x:v>
      </x:c>
      <x:c r="J283" s="16" t="n">
        <x:f>IFERROR(F283/E283,0)</x:f>
        <x:v>0.9791666666666666</x:v>
      </x:c>
      <x:c r="K283" s="10" t="str">
        <x:f>IF(J283&lt;0.90,"Stockout","Healthy")</x:f>
        <x:v>Healthy</x:v>
      </x:c>
    </x:row>
    <x:row r="284">
      <x:c r="A284" s="12" t="n">
        <x:v>46143</x:v>
      </x:c>
      <x:c r="B284" s="10" t="str">
        <x:v>Store 402</x:v>
      </x:c>
      <x:c r="C284" s="10" t="str">
        <x:v>North</x:v>
      </x:c>
      <x:c r="D284" s="10" t="str">
        <x:v>Pain Relief</x:v>
      </x:c>
      <x:c r="E284" s="10" t="n">
        <x:v>34</x:v>
      </x:c>
      <x:c r="F284" s="10" t="n">
        <x:v>33</x:v>
      </x:c>
      <x:c r="G284" s="10" t="n">
        <x:v>137</x:v>
      </x:c>
      <x:c r="H284" s="14" t="n">
        <x:v>15.09</x:v>
      </x:c>
      <x:c r="I284" s="14" t="n">
        <x:f>G284*H284</x:f>
        <x:v>2067.33</x:v>
      </x:c>
      <x:c r="J284" s="16" t="n">
        <x:f>IFERROR(F284/E284,0)</x:f>
        <x:v>0.9705882352941176</x:v>
      </x:c>
      <x:c r="K284" s="10" t="str">
        <x:f>IF(J284&lt;0.90,"Stockout","Healthy")</x:f>
        <x:v>Healthy</x:v>
      </x:c>
    </x:row>
    <x:row r="285">
      <x:c r="A285" s="12" t="n">
        <x:v>46143</x:v>
      </x:c>
      <x:c r="B285" s="10" t="str">
        <x:v>Store 402</x:v>
      </x:c>
      <x:c r="C285" s="10" t="str">
        <x:v>North</x:v>
      </x:c>
      <x:c r="D285" s="10" t="str">
        <x:v>Cold &amp; Cough</x:v>
      </x:c>
      <x:c r="E285" s="10" t="n">
        <x:v>59</x:v>
      </x:c>
      <x:c r="F285" s="10" t="n">
        <x:v>55</x:v>
      </x:c>
      <x:c r="G285" s="10" t="n">
        <x:v>126</x:v>
      </x:c>
      <x:c r="H285" s="14" t="n">
        <x:v>16.03</x:v>
      </x:c>
      <x:c r="I285" s="14" t="n">
        <x:f>G285*H285</x:f>
        <x:v>2019.7800000000002</x:v>
      </x:c>
      <x:c r="J285" s="16" t="n">
        <x:f>IFERROR(F285/E285,0)</x:f>
        <x:v>0.9322033898305084</x:v>
      </x:c>
      <x:c r="K285" s="10" t="str">
        <x:f>IF(J285&lt;0.90,"Stockout","Healthy")</x:f>
        <x:v>Healthy</x:v>
      </x:c>
    </x:row>
    <x:row r="286">
      <x:c r="A286" s="12" t="n">
        <x:v>46143</x:v>
      </x:c>
      <x:c r="B286" s="10" t="str">
        <x:v>Store 402</x:v>
      </x:c>
      <x:c r="C286" s="10" t="str">
        <x:v>North</x:v>
      </x:c>
      <x:c r="D286" s="10" t="str">
        <x:v>Digestive Care</x:v>
      </x:c>
      <x:c r="E286" s="10" t="n">
        <x:v>40</x:v>
      </x:c>
      <x:c r="F286" s="10" t="n">
        <x:v>35</x:v>
      </x:c>
      <x:c r="G286" s="10" t="n">
        <x:v>106</x:v>
      </x:c>
      <x:c r="H286" s="14" t="n">
        <x:v>17.12</x:v>
      </x:c>
      <x:c r="I286" s="14" t="n">
        <x:f>G286*H286</x:f>
        <x:v>1814.72</x:v>
      </x:c>
      <x:c r="J286" s="16" t="n">
        <x:f>IFERROR(F286/E286,0)</x:f>
        <x:v>0.875</x:v>
      </x:c>
      <x:c r="K286" s="10" t="str">
        <x:f>IF(J286&lt;0.90,"Stockout","Healthy")</x:f>
        <x:v>Stockout</x:v>
      </x:c>
    </x:row>
    <x:row r="287">
      <x:c r="A287" s="12" t="n">
        <x:v>46143</x:v>
      </x:c>
      <x:c r="B287" s="10" t="str">
        <x:v>Store 402</x:v>
      </x:c>
      <x:c r="C287" s="10" t="str">
        <x:v>North</x:v>
      </x:c>
      <x:c r="D287" s="10" t="str">
        <x:v>First Aid</x:v>
      </x:c>
      <x:c r="E287" s="10" t="n">
        <x:v>58</x:v>
      </x:c>
      <x:c r="F287" s="10" t="n">
        <x:v>57</x:v>
      </x:c>
      <x:c r="G287" s="10" t="n">
        <x:v>173</x:v>
      </x:c>
      <x:c r="H287" s="14" t="n">
        <x:v>8.56</x:v>
      </x:c>
      <x:c r="I287" s="14" t="n">
        <x:f>G287*H287</x:f>
        <x:v>1480.88</x:v>
      </x:c>
      <x:c r="J287" s="16" t="n">
        <x:f>IFERROR(F287/E287,0)</x:f>
        <x:v>0.9827586206896551</x:v>
      </x:c>
      <x:c r="K287" s="10" t="str">
        <x:f>IF(J287&lt;0.90,"Stockout","Healthy")</x:f>
        <x:v>Healthy</x:v>
      </x:c>
    </x:row>
    <x:row r="288">
      <x:c r="A288" s="12" t="n">
        <x:v>46143</x:v>
      </x:c>
      <x:c r="B288" s="10" t="str">
        <x:v>Store 402</x:v>
      </x:c>
      <x:c r="C288" s="10" t="str">
        <x:v>North</x:v>
      </x:c>
      <x:c r="D288" s="10" t="str">
        <x:v>Vitamins</x:v>
      </x:c>
      <x:c r="E288" s="10" t="n">
        <x:v>38</x:v>
      </x:c>
      <x:c r="F288" s="10" t="n">
        <x:v>38</x:v>
      </x:c>
      <x:c r="G288" s="10" t="n">
        <x:v>127</x:v>
      </x:c>
      <x:c r="H288" s="14" t="n">
        <x:v>23.66</x:v>
      </x:c>
      <x:c r="I288" s="14" t="n">
        <x:f>G288*H288</x:f>
        <x:v>3004.82</x:v>
      </x:c>
      <x:c r="J288" s="16" t="n">
        <x:f>IFERROR(F288/E288,0)</x:f>
        <x:v>1</x:v>
      </x:c>
      <x:c r="K288" s="10" t="str">
        <x:f>IF(J288&lt;0.90,"Stockout","Healthy")</x:f>
        <x:v>Healthy</x:v>
      </x:c>
    </x:row>
    <x:row r="289">
      <x:c r="A289" s="12" t="n">
        <x:v>46143</x:v>
      </x:c>
      <x:c r="B289" s="10" t="str">
        <x:v>Store 402</x:v>
      </x:c>
      <x:c r="C289" s="10" t="str">
        <x:v>North</x:v>
      </x:c>
      <x:c r="D289" s="10" t="str">
        <x:v>Personal Care</x:v>
      </x:c>
      <x:c r="E289" s="10" t="n">
        <x:v>37</x:v>
      </x:c>
      <x:c r="F289" s="10" t="n">
        <x:v>35</x:v>
      </x:c>
      <x:c r="G289" s="10" t="n">
        <x:v>125</x:v>
      </x:c>
      <x:c r="H289" s="14" t="n">
        <x:v>10.84</x:v>
      </x:c>
      <x:c r="I289" s="14" t="n">
        <x:f>G289*H289</x:f>
        <x:v>1355</x:v>
      </x:c>
      <x:c r="J289" s="16" t="n">
        <x:f>IFERROR(F289/E289,0)</x:f>
        <x:v>0.9459459459459459</x:v>
      </x:c>
      <x:c r="K289" s="10" t="str">
        <x:f>IF(J289&lt;0.90,"Stockout","Healthy")</x:f>
        <x:v>Healthy</x:v>
      </x:c>
    </x:row>
    <x:row r="290">
      <x:c r="A290" s="12" t="n">
        <x:v>46143</x:v>
      </x:c>
      <x:c r="B290" s="10" t="str">
        <x:v>Store 501</x:v>
      </x:c>
      <x:c r="C290" s="10" t="str">
        <x:v>South</x:v>
      </x:c>
      <x:c r="D290" s="10" t="str">
        <x:v>Pain Relief</x:v>
      </x:c>
      <x:c r="E290" s="10" t="n">
        <x:v>59</x:v>
      </x:c>
      <x:c r="F290" s="10" t="n">
        <x:v>57</x:v>
      </x:c>
      <x:c r="G290" s="10" t="n">
        <x:v>101</x:v>
      </x:c>
      <x:c r="H290" s="14" t="n">
        <x:v>12.2</x:v>
      </x:c>
      <x:c r="I290" s="14" t="n">
        <x:f>G290*H290</x:f>
        <x:v>1232.1999999999998</x:v>
      </x:c>
      <x:c r="J290" s="16" t="n">
        <x:f>IFERROR(F290/E290,0)</x:f>
        <x:v>0.9661016949152542</x:v>
      </x:c>
      <x:c r="K290" s="10" t="str">
        <x:f>IF(J290&lt;0.90,"Stockout","Healthy")</x:f>
        <x:v>Healthy</x:v>
      </x:c>
    </x:row>
    <x:row r="291">
      <x:c r="A291" s="12" t="n">
        <x:v>46143</x:v>
      </x:c>
      <x:c r="B291" s="10" t="str">
        <x:v>Store 501</x:v>
      </x:c>
      <x:c r="C291" s="10" t="str">
        <x:v>South</x:v>
      </x:c>
      <x:c r="D291" s="10" t="str">
        <x:v>Cold &amp; Cough</x:v>
      </x:c>
      <x:c r="E291" s="10" t="n">
        <x:v>42</x:v>
      </x:c>
      <x:c r="F291" s="10" t="n">
        <x:v>42</x:v>
      </x:c>
      <x:c r="G291" s="10" t="n">
        <x:v>147</x:v>
      </x:c>
      <x:c r="H291" s="14" t="n">
        <x:v>15.24</x:v>
      </x:c>
      <x:c r="I291" s="14" t="n">
        <x:f>G291*H291</x:f>
        <x:v>2240.28</x:v>
      </x:c>
      <x:c r="J291" s="16" t="n">
        <x:f>IFERROR(F291/E291,0)</x:f>
        <x:v>1</x:v>
      </x:c>
      <x:c r="K291" s="10" t="str">
        <x:f>IF(J291&lt;0.90,"Stockout","Healthy")</x:f>
        <x:v>Healthy</x:v>
      </x:c>
    </x:row>
    <x:row r="292">
      <x:c r="A292" s="12" t="n">
        <x:v>46143</x:v>
      </x:c>
      <x:c r="B292" s="10" t="str">
        <x:v>Store 501</x:v>
      </x:c>
      <x:c r="C292" s="10" t="str">
        <x:v>South</x:v>
      </x:c>
      <x:c r="D292" s="10" t="str">
        <x:v>Digestive Care</x:v>
      </x:c>
      <x:c r="E292" s="10" t="n">
        <x:v>57</x:v>
      </x:c>
      <x:c r="F292" s="10" t="n">
        <x:v>56</x:v>
      </x:c>
      <x:c r="G292" s="10" t="n">
        <x:v>144</x:v>
      </x:c>
      <x:c r="H292" s="14" t="n">
        <x:v>17.63</x:v>
      </x:c>
      <x:c r="I292" s="14" t="n">
        <x:f>G292*H292</x:f>
        <x:v>2538.72</x:v>
      </x:c>
      <x:c r="J292" s="16" t="n">
        <x:f>IFERROR(F292/E292,0)</x:f>
        <x:v>0.9824561403508771</x:v>
      </x:c>
      <x:c r="K292" s="10" t="str">
        <x:f>IF(J292&lt;0.90,"Stockout","Healthy")</x:f>
        <x:v>Healthy</x:v>
      </x:c>
    </x:row>
    <x:row r="293">
      <x:c r="A293" s="12" t="n">
        <x:v>46143</x:v>
      </x:c>
      <x:c r="B293" s="10" t="str">
        <x:v>Store 501</x:v>
      </x:c>
      <x:c r="C293" s="10" t="str">
        <x:v>South</x:v>
      </x:c>
      <x:c r="D293" s="10" t="str">
        <x:v>First Aid</x:v>
      </x:c>
      <x:c r="E293" s="10" t="n">
        <x:v>52</x:v>
      </x:c>
      <x:c r="F293" s="10" t="n">
        <x:v>51</x:v>
      </x:c>
      <x:c r="G293" s="10" t="n">
        <x:v>152</x:v>
      </x:c>
      <x:c r="H293" s="14" t="n">
        <x:v>10.53</x:v>
      </x:c>
      <x:c r="I293" s="14" t="n">
        <x:f>G293*H293</x:f>
        <x:v>1600.56</x:v>
      </x:c>
      <x:c r="J293" s="16" t="n">
        <x:f>IFERROR(F293/E293,0)</x:f>
        <x:v>0.9807692307692307</x:v>
      </x:c>
      <x:c r="K293" s="10" t="str">
        <x:f>IF(J293&lt;0.90,"Stockout","Healthy")</x:f>
        <x:v>Healthy</x:v>
      </x:c>
    </x:row>
    <x:row r="294">
      <x:c r="A294" s="12" t="n">
        <x:v>46143</x:v>
      </x:c>
      <x:c r="B294" s="10" t="str">
        <x:v>Store 501</x:v>
      </x:c>
      <x:c r="C294" s="10" t="str">
        <x:v>South</x:v>
      </x:c>
      <x:c r="D294" s="10" t="str">
        <x:v>Vitamins</x:v>
      </x:c>
      <x:c r="E294" s="10" t="n">
        <x:v>35</x:v>
      </x:c>
      <x:c r="F294" s="10" t="n">
        <x:v>33</x:v>
      </x:c>
      <x:c r="G294" s="10" t="n">
        <x:v>79</x:v>
      </x:c>
      <x:c r="H294" s="14" t="n">
        <x:v>22.99</x:v>
      </x:c>
      <x:c r="I294" s="14" t="n">
        <x:f>G294*H294</x:f>
        <x:v>1816.2099999999998</x:v>
      </x:c>
      <x:c r="J294" s="16" t="n">
        <x:f>IFERROR(F294/E294,0)</x:f>
        <x:v>0.9428571428571428</x:v>
      </x:c>
      <x:c r="K294" s="10" t="str">
        <x:f>IF(J294&lt;0.90,"Stockout","Healthy")</x:f>
        <x:v>Healthy</x:v>
      </x:c>
    </x:row>
    <x:row r="295">
      <x:c r="A295" s="12" t="n">
        <x:v>46143</x:v>
      </x:c>
      <x:c r="B295" s="10" t="str">
        <x:v>Store 501</x:v>
      </x:c>
      <x:c r="C295" s="10" t="str">
        <x:v>South</x:v>
      </x:c>
      <x:c r="D295" s="10" t="str">
        <x:v>Personal Care</x:v>
      </x:c>
      <x:c r="E295" s="10" t="n">
        <x:v>43</x:v>
      </x:c>
      <x:c r="F295" s="10" t="n">
        <x:v>36</x:v>
      </x:c>
      <x:c r="G295" s="10" t="n">
        <x:v>150</x:v>
      </x:c>
      <x:c r="H295" s="14" t="n">
        <x:v>10.96</x:v>
      </x:c>
      <x:c r="I295" s="14" t="n">
        <x:f>G295*H295</x:f>
        <x:v>1644.0000000000002</x:v>
      </x:c>
      <x:c r="J295" s="16" t="n">
        <x:f>IFERROR(F295/E295,0)</x:f>
        <x:v>0.8372093023255814</x:v>
      </x:c>
      <x:c r="K295" s="10" t="str">
        <x:f>IF(J295&lt;0.90,"Stockout","Healthy")</x:f>
        <x:v>Stockout</x:v>
      </x:c>
    </x:row>
    <x:row r="296">
      <x:c r="A296" s="12" t="n">
        <x:v>46143</x:v>
      </x:c>
      <x:c r="B296" s="10" t="str">
        <x:v>Store 502</x:v>
      </x:c>
      <x:c r="C296" s="10" t="str">
        <x:v>South</x:v>
      </x:c>
      <x:c r="D296" s="10" t="str">
        <x:v>Pain Relief</x:v>
      </x:c>
      <x:c r="E296" s="10" t="n">
        <x:v>49</x:v>
      </x:c>
      <x:c r="F296" s="10" t="n">
        <x:v>48</x:v>
      </x:c>
      <x:c r="G296" s="10" t="n">
        <x:v>115</x:v>
      </x:c>
      <x:c r="H296" s="14" t="n">
        <x:v>12.47</x:v>
      </x:c>
      <x:c r="I296" s="14" t="n">
        <x:f>G296*H296</x:f>
        <x:v>1434.0500000000002</x:v>
      </x:c>
      <x:c r="J296" s="16" t="n">
        <x:f>IFERROR(F296/E296,0)</x:f>
        <x:v>0.9795918367346939</x:v>
      </x:c>
      <x:c r="K296" s="10" t="str">
        <x:f>IF(J296&lt;0.90,"Stockout","Healthy")</x:f>
        <x:v>Healthy</x:v>
      </x:c>
    </x:row>
    <x:row r="297">
      <x:c r="A297" s="12" t="n">
        <x:v>46143</x:v>
      </x:c>
      <x:c r="B297" s="10" t="str">
        <x:v>Store 502</x:v>
      </x:c>
      <x:c r="C297" s="10" t="str">
        <x:v>South</x:v>
      </x:c>
      <x:c r="D297" s="10" t="str">
        <x:v>Cold &amp; Cough</x:v>
      </x:c>
      <x:c r="E297" s="10" t="n">
        <x:v>56</x:v>
      </x:c>
      <x:c r="F297" s="10" t="n">
        <x:v>54</x:v>
      </x:c>
      <x:c r="G297" s="10" t="n">
        <x:v>131</x:v>
      </x:c>
      <x:c r="H297" s="14" t="n">
        <x:v>13.77</x:v>
      </x:c>
      <x:c r="I297" s="14" t="n">
        <x:f>G297*H297</x:f>
        <x:v>1803.87</x:v>
      </x:c>
      <x:c r="J297" s="16" t="n">
        <x:f>IFERROR(F297/E297,0)</x:f>
        <x:v>0.9642857142857143</x:v>
      </x:c>
      <x:c r="K297" s="10" t="str">
        <x:f>IF(J297&lt;0.90,"Stockout","Healthy")</x:f>
        <x:v>Healthy</x:v>
      </x:c>
    </x:row>
    <x:row r="298">
      <x:c r="A298" s="12" t="n">
        <x:v>46143</x:v>
      </x:c>
      <x:c r="B298" s="10" t="str">
        <x:v>Store 502</x:v>
      </x:c>
      <x:c r="C298" s="10" t="str">
        <x:v>South</x:v>
      </x:c>
      <x:c r="D298" s="10" t="str">
        <x:v>Digestive Care</x:v>
      </x:c>
      <x:c r="E298" s="10" t="n">
        <x:v>53</x:v>
      </x:c>
      <x:c r="F298" s="10" t="n">
        <x:v>51</x:v>
      </x:c>
      <x:c r="G298" s="10" t="n">
        <x:v>147</x:v>
      </x:c>
      <x:c r="H298" s="14" t="n">
        <x:v>18.67</x:v>
      </x:c>
      <x:c r="I298" s="14" t="n">
        <x:f>G298*H298</x:f>
        <x:v>2744.4900000000002</x:v>
      </x:c>
      <x:c r="J298" s="16" t="n">
        <x:f>IFERROR(F298/E298,0)</x:f>
        <x:v>0.9622641509433962</x:v>
      </x:c>
      <x:c r="K298" s="10" t="str">
        <x:f>IF(J298&lt;0.90,"Stockout","Healthy")</x:f>
        <x:v>Healthy</x:v>
      </x:c>
    </x:row>
    <x:row r="299">
      <x:c r="A299" s="12" t="n">
        <x:v>46143</x:v>
      </x:c>
      <x:c r="B299" s="10" t="str">
        <x:v>Store 502</x:v>
      </x:c>
      <x:c r="C299" s="10" t="str">
        <x:v>South</x:v>
      </x:c>
      <x:c r="D299" s="10" t="str">
        <x:v>First Aid</x:v>
      </x:c>
      <x:c r="E299" s="10" t="n">
        <x:v>52</x:v>
      </x:c>
      <x:c r="F299" s="10" t="n">
        <x:v>47</x:v>
      </x:c>
      <x:c r="G299" s="10" t="n">
        <x:v>130</x:v>
      </x:c>
      <x:c r="H299" s="14" t="n">
        <x:v>10.63</x:v>
      </x:c>
      <x:c r="I299" s="14" t="n">
        <x:f>G299*H299</x:f>
        <x:v>1381.9</x:v>
      </x:c>
      <x:c r="J299" s="16" t="n">
        <x:f>IFERROR(F299/E299,0)</x:f>
        <x:v>0.9038461538461539</x:v>
      </x:c>
      <x:c r="K299" s="10" t="str">
        <x:f>IF(J299&lt;0.90,"Stockout","Healthy")</x:f>
        <x:v>Healthy</x:v>
      </x:c>
    </x:row>
    <x:row r="300">
      <x:c r="A300" s="12" t="n">
        <x:v>46143</x:v>
      </x:c>
      <x:c r="B300" s="10" t="str">
        <x:v>Store 502</x:v>
      </x:c>
      <x:c r="C300" s="10" t="str">
        <x:v>South</x:v>
      </x:c>
      <x:c r="D300" s="10" t="str">
        <x:v>Vitamins</x:v>
      </x:c>
      <x:c r="E300" s="10" t="n">
        <x:v>50</x:v>
      </x:c>
      <x:c r="F300" s="10" t="n">
        <x:v>46</x:v>
      </x:c>
      <x:c r="G300" s="10" t="n">
        <x:v>165</x:v>
      </x:c>
      <x:c r="H300" s="14" t="n">
        <x:v>21.88</x:v>
      </x:c>
      <x:c r="I300" s="14" t="n">
        <x:f>G300*H300</x:f>
        <x:v>3610.2</x:v>
      </x:c>
      <x:c r="J300" s="16" t="n">
        <x:f>IFERROR(F300/E300,0)</x:f>
        <x:v>0.92</x:v>
      </x:c>
      <x:c r="K300" s="10" t="str">
        <x:f>IF(J300&lt;0.90,"Stockout","Healthy")</x:f>
        <x:v>Healthy</x:v>
      </x:c>
    </x:row>
    <x:row r="301">
      <x:c r="A301" s="12" t="n">
        <x:v>46143</x:v>
      </x:c>
      <x:c r="B301" s="10" t="str">
        <x:v>Store 502</x:v>
      </x:c>
      <x:c r="C301" s="10" t="str">
        <x:v>South</x:v>
      </x:c>
      <x:c r="D301" s="10" t="str">
        <x:v>Personal Care</x:v>
      </x:c>
      <x:c r="E301" s="10" t="n">
        <x:v>59</x:v>
      </x:c>
      <x:c r="F301" s="10" t="n">
        <x:v>54</x:v>
      </x:c>
      <x:c r="G301" s="10" t="n">
        <x:v>90</x:v>
      </x:c>
      <x:c r="H301" s="14" t="n">
        <x:v>12.52</x:v>
      </x:c>
      <x:c r="I301" s="14" t="n">
        <x:f>G301*H301</x:f>
        <x:v>1126.8</x:v>
      </x:c>
      <x:c r="J301" s="16" t="n">
        <x:f>IFERROR(F301/E301,0)</x:f>
        <x:v>0.9152542372881356</x:v>
      </x:c>
      <x:c r="K301" s="10" t="str">
        <x:f>IF(J301&lt;0.90,"Stockout","Healthy")</x:f>
        <x:v>Healthy</x:v>
      </x:c>
    </x:row>
    <x:row r="302">
      <x:c r="A302" s="12" t="n">
        <x:v>46174</x:v>
      </x:c>
      <x:c r="B302" s="10" t="str">
        <x:v>Store 101</x:v>
      </x:c>
      <x:c r="C302" s="10" t="str">
        <x:v>Central</x:v>
      </x:c>
      <x:c r="D302" s="10" t="str">
        <x:v>Pain Relief</x:v>
      </x:c>
      <x:c r="E302" s="10" t="n">
        <x:v>58</x:v>
      </x:c>
      <x:c r="F302" s="10" t="n">
        <x:v>50</x:v>
      </x:c>
      <x:c r="G302" s="10" t="n">
        <x:v>118</x:v>
      </x:c>
      <x:c r="H302" s="14" t="n">
        <x:v>13.43</x:v>
      </x:c>
      <x:c r="I302" s="14" t="n">
        <x:f>G302*H302</x:f>
        <x:v>1584.74</x:v>
      </x:c>
      <x:c r="J302" s="16" t="n">
        <x:f>IFERROR(F302/E302,0)</x:f>
        <x:v>0.8620689655172413</x:v>
      </x:c>
      <x:c r="K302" s="10" t="str">
        <x:f>IF(J302&lt;0.90,"Stockout","Healthy")</x:f>
        <x:v>Stockout</x:v>
      </x:c>
    </x:row>
    <x:row r="303">
      <x:c r="A303" s="12" t="n">
        <x:v>46174</x:v>
      </x:c>
      <x:c r="B303" s="10" t="str">
        <x:v>Store 101</x:v>
      </x:c>
      <x:c r="C303" s="10" t="str">
        <x:v>Central</x:v>
      </x:c>
      <x:c r="D303" s="10" t="str">
        <x:v>Cold &amp; Cough</x:v>
      </x:c>
      <x:c r="E303" s="10" t="n">
        <x:v>41</x:v>
      </x:c>
      <x:c r="F303" s="10" t="n">
        <x:v>36</x:v>
      </x:c>
      <x:c r="G303" s="10" t="n">
        <x:v>159</x:v>
      </x:c>
      <x:c r="H303" s="14" t="n">
        <x:v>14.82</x:v>
      </x:c>
      <x:c r="I303" s="14" t="n">
        <x:f>G303*H303</x:f>
        <x:v>2356.38</x:v>
      </x:c>
      <x:c r="J303" s="16" t="n">
        <x:f>IFERROR(F303/E303,0)</x:f>
        <x:v>0.8780487804878049</x:v>
      </x:c>
      <x:c r="K303" s="10" t="str">
        <x:f>IF(J303&lt;0.90,"Stockout","Healthy")</x:f>
        <x:v>Stockout</x:v>
      </x:c>
    </x:row>
    <x:row r="304">
      <x:c r="A304" s="12" t="n">
        <x:v>46174</x:v>
      </x:c>
      <x:c r="B304" s="10" t="str">
        <x:v>Store 101</x:v>
      </x:c>
      <x:c r="C304" s="10" t="str">
        <x:v>Central</x:v>
      </x:c>
      <x:c r="D304" s="10" t="str">
        <x:v>Digestive Care</x:v>
      </x:c>
      <x:c r="E304" s="10" t="n">
        <x:v>57</x:v>
      </x:c>
      <x:c r="F304" s="10" t="n">
        <x:v>56</x:v>
      </x:c>
      <x:c r="G304" s="10" t="n">
        <x:v>149</x:v>
      </x:c>
      <x:c r="H304" s="14" t="n">
        <x:v>18.83</x:v>
      </x:c>
      <x:c r="I304" s="14" t="n">
        <x:f>G304*H304</x:f>
        <x:v>2805.6699999999996</x:v>
      </x:c>
      <x:c r="J304" s="16" t="n">
        <x:f>IFERROR(F304/E304,0)</x:f>
        <x:v>0.9824561403508771</x:v>
      </x:c>
      <x:c r="K304" s="10" t="str">
        <x:f>IF(J304&lt;0.90,"Stockout","Healthy")</x:f>
        <x:v>Healthy</x:v>
      </x:c>
    </x:row>
    <x:row r="305">
      <x:c r="A305" s="12" t="n">
        <x:v>46174</x:v>
      </x:c>
      <x:c r="B305" s="10" t="str">
        <x:v>Store 101</x:v>
      </x:c>
      <x:c r="C305" s="10" t="str">
        <x:v>Central</x:v>
      </x:c>
      <x:c r="D305" s="10" t="str">
        <x:v>First Aid</x:v>
      </x:c>
      <x:c r="E305" s="10" t="n">
        <x:v>45</x:v>
      </x:c>
      <x:c r="F305" s="10" t="n">
        <x:v>45</x:v>
      </x:c>
      <x:c r="G305" s="10" t="n">
        <x:v>123</x:v>
      </x:c>
      <x:c r="H305" s="14" t="n">
        <x:v>9.54</x:v>
      </x:c>
      <x:c r="I305" s="14" t="n">
        <x:f>G305*H305</x:f>
        <x:v>1173.4199999999998</x:v>
      </x:c>
      <x:c r="J305" s="16" t="n">
        <x:f>IFERROR(F305/E305,0)</x:f>
        <x:v>1</x:v>
      </x:c>
      <x:c r="K305" s="10" t="str">
        <x:f>IF(J305&lt;0.90,"Stockout","Healthy")</x:f>
        <x:v>Healthy</x:v>
      </x:c>
    </x:row>
    <x:row r="306">
      <x:c r="A306" s="12" t="n">
        <x:v>46174</x:v>
      </x:c>
      <x:c r="B306" s="10" t="str">
        <x:v>Store 101</x:v>
      </x:c>
      <x:c r="C306" s="10" t="str">
        <x:v>Central</x:v>
      </x:c>
      <x:c r="D306" s="10" t="str">
        <x:v>Vitamins</x:v>
      </x:c>
      <x:c r="E306" s="10" t="n">
        <x:v>36</x:v>
      </x:c>
      <x:c r="F306" s="10" t="n">
        <x:v>35</x:v>
      </x:c>
      <x:c r="G306" s="10" t="n">
        <x:v>125</x:v>
      </x:c>
      <x:c r="H306" s="14" t="n">
        <x:v>20.27</x:v>
      </x:c>
      <x:c r="I306" s="14" t="n">
        <x:f>G306*H306</x:f>
        <x:v>2533.75</x:v>
      </x:c>
      <x:c r="J306" s="16" t="n">
        <x:f>IFERROR(F306/E306,0)</x:f>
        <x:v>0.9722222222222222</x:v>
      </x:c>
      <x:c r="K306" s="10" t="str">
        <x:f>IF(J306&lt;0.90,"Stockout","Healthy")</x:f>
        <x:v>Healthy</x:v>
      </x:c>
    </x:row>
    <x:row r="307">
      <x:c r="A307" s="12" t="n">
        <x:v>46174</x:v>
      </x:c>
      <x:c r="B307" s="10" t="str">
        <x:v>Store 101</x:v>
      </x:c>
      <x:c r="C307" s="10" t="str">
        <x:v>Central</x:v>
      </x:c>
      <x:c r="D307" s="10" t="str">
        <x:v>Personal Care</x:v>
      </x:c>
      <x:c r="E307" s="10" t="n">
        <x:v>57</x:v>
      </x:c>
      <x:c r="F307" s="10" t="n">
        <x:v>53</x:v>
      </x:c>
      <x:c r="G307" s="10" t="n">
        <x:v>144</x:v>
      </x:c>
      <x:c r="H307" s="14" t="n">
        <x:v>10.96</x:v>
      </x:c>
      <x:c r="I307" s="14" t="n">
        <x:f>G307*H307</x:f>
        <x:v>1578.2400000000002</x:v>
      </x:c>
      <x:c r="J307" s="16" t="n">
        <x:f>IFERROR(F307/E307,0)</x:f>
        <x:v>0.9298245614035088</x:v>
      </x:c>
      <x:c r="K307" s="10" t="str">
        <x:f>IF(J307&lt;0.90,"Stockout","Healthy")</x:f>
        <x:v>Healthy</x:v>
      </x:c>
    </x:row>
    <x:row r="308">
      <x:c r="A308" s="12" t="n">
        <x:v>46174</x:v>
      </x:c>
      <x:c r="B308" s="10" t="str">
        <x:v>Store 102</x:v>
      </x:c>
      <x:c r="C308" s="10" t="str">
        <x:v>Central</x:v>
      </x:c>
      <x:c r="D308" s="10" t="str">
        <x:v>Pain Relief</x:v>
      </x:c>
      <x:c r="E308" s="10" t="n">
        <x:v>51</x:v>
      </x:c>
      <x:c r="F308" s="10" t="n">
        <x:v>45</x:v>
      </x:c>
      <x:c r="G308" s="10" t="n">
        <x:v>124</x:v>
      </x:c>
      <x:c r="H308" s="14" t="n">
        <x:v>13.37</x:v>
      </x:c>
      <x:c r="I308" s="14" t="n">
        <x:f>G308*H308</x:f>
        <x:v>1657.8799999999999</x:v>
      </x:c>
      <x:c r="J308" s="16" t="n">
        <x:f>IFERROR(F308/E308,0)</x:f>
        <x:v>0.8823529411764706</x:v>
      </x:c>
      <x:c r="K308" s="10" t="str">
        <x:f>IF(J308&lt;0.90,"Stockout","Healthy")</x:f>
        <x:v>Stockout</x:v>
      </x:c>
    </x:row>
    <x:row r="309">
      <x:c r="A309" s="12" t="n">
        <x:v>46174</x:v>
      </x:c>
      <x:c r="B309" s="10" t="str">
        <x:v>Store 102</x:v>
      </x:c>
      <x:c r="C309" s="10" t="str">
        <x:v>Central</x:v>
      </x:c>
      <x:c r="D309" s="10" t="str">
        <x:v>Cold &amp; Cough</x:v>
      </x:c>
      <x:c r="E309" s="10" t="n">
        <x:v>55</x:v>
      </x:c>
      <x:c r="F309" s="10" t="n">
        <x:v>54</x:v>
      </x:c>
      <x:c r="G309" s="10" t="n">
        <x:v>128</x:v>
      </x:c>
      <x:c r="H309" s="14" t="n">
        <x:v>16.52</x:v>
      </x:c>
      <x:c r="I309" s="14" t="n">
        <x:f>G309*H309</x:f>
        <x:v>2114.56</x:v>
      </x:c>
      <x:c r="J309" s="16" t="n">
        <x:f>IFERROR(F309/E309,0)</x:f>
        <x:v>0.9818181818181818</x:v>
      </x:c>
      <x:c r="K309" s="10" t="str">
        <x:f>IF(J309&lt;0.90,"Stockout","Healthy")</x:f>
        <x:v>Healthy</x:v>
      </x:c>
    </x:row>
    <x:row r="310">
      <x:c r="A310" s="12" t="n">
        <x:v>46174</x:v>
      </x:c>
      <x:c r="B310" s="10" t="str">
        <x:v>Store 102</x:v>
      </x:c>
      <x:c r="C310" s="10" t="str">
        <x:v>Central</x:v>
      </x:c>
      <x:c r="D310" s="10" t="str">
        <x:v>Digestive Care</x:v>
      </x:c>
      <x:c r="E310" s="10" t="n">
        <x:v>35</x:v>
      </x:c>
      <x:c r="F310" s="10" t="n">
        <x:v>35</x:v>
      </x:c>
      <x:c r="G310" s="10" t="n">
        <x:v>131</x:v>
      </x:c>
      <x:c r="H310" s="14" t="n">
        <x:v>17.59</x:v>
      </x:c>
      <x:c r="I310" s="14" t="n">
        <x:f>G310*H310</x:f>
        <x:v>2304.29</x:v>
      </x:c>
      <x:c r="J310" s="16" t="n">
        <x:f>IFERROR(F310/E310,0)</x:f>
        <x:v>1</x:v>
      </x:c>
      <x:c r="K310" s="10" t="str">
        <x:f>IF(J310&lt;0.90,"Stockout","Healthy")</x:f>
        <x:v>Healthy</x:v>
      </x:c>
    </x:row>
    <x:row r="311">
      <x:c r="A311" s="12" t="n">
        <x:v>46174</x:v>
      </x:c>
      <x:c r="B311" s="10" t="str">
        <x:v>Store 102</x:v>
      </x:c>
      <x:c r="C311" s="10" t="str">
        <x:v>Central</x:v>
      </x:c>
      <x:c r="D311" s="10" t="str">
        <x:v>First Aid</x:v>
      </x:c>
      <x:c r="E311" s="10" t="n">
        <x:v>52</x:v>
      </x:c>
      <x:c r="F311" s="10" t="n">
        <x:v>48</x:v>
      </x:c>
      <x:c r="G311" s="10" t="n">
        <x:v>137</x:v>
      </x:c>
      <x:c r="H311" s="14" t="n">
        <x:v>9.56</x:v>
      </x:c>
      <x:c r="I311" s="14" t="n">
        <x:f>G311*H311</x:f>
        <x:v>1309.72</x:v>
      </x:c>
      <x:c r="J311" s="16" t="n">
        <x:f>IFERROR(F311/E311,0)</x:f>
        <x:v>0.9230769230769231</x:v>
      </x:c>
      <x:c r="K311" s="10" t="str">
        <x:f>IF(J311&lt;0.90,"Stockout","Healthy")</x:f>
        <x:v>Healthy</x:v>
      </x:c>
    </x:row>
    <x:row r="312">
      <x:c r="A312" s="12" t="n">
        <x:v>46174</x:v>
      </x:c>
      <x:c r="B312" s="10" t="str">
        <x:v>Store 102</x:v>
      </x:c>
      <x:c r="C312" s="10" t="str">
        <x:v>Central</x:v>
      </x:c>
      <x:c r="D312" s="10" t="str">
        <x:v>Vitamins</x:v>
      </x:c>
      <x:c r="E312" s="10" t="n">
        <x:v>37</x:v>
      </x:c>
      <x:c r="F312" s="10" t="n">
        <x:v>34</x:v>
      </x:c>
      <x:c r="G312" s="10" t="n">
        <x:v>164</x:v>
      </x:c>
      <x:c r="H312" s="14" t="n">
        <x:v>20.36</x:v>
      </x:c>
      <x:c r="I312" s="14" t="n">
        <x:f>G312*H312</x:f>
        <x:v>3339.04</x:v>
      </x:c>
      <x:c r="J312" s="16" t="n">
        <x:f>IFERROR(F312/E312,0)</x:f>
        <x:v>0.918918918918919</x:v>
      </x:c>
      <x:c r="K312" s="10" t="str">
        <x:f>IF(J312&lt;0.90,"Stockout","Healthy")</x:f>
        <x:v>Healthy</x:v>
      </x:c>
    </x:row>
    <x:row r="313">
      <x:c r="A313" s="12" t="n">
        <x:v>46174</x:v>
      </x:c>
      <x:c r="B313" s="10" t="str">
        <x:v>Store 102</x:v>
      </x:c>
      <x:c r="C313" s="10" t="str">
        <x:v>Central</x:v>
      </x:c>
      <x:c r="D313" s="10" t="str">
        <x:v>Personal Care</x:v>
      </x:c>
      <x:c r="E313" s="10" t="n">
        <x:v>42</x:v>
      </x:c>
      <x:c r="F313" s="10" t="n">
        <x:v>37</x:v>
      </x:c>
      <x:c r="G313" s="10" t="n">
        <x:v>117</x:v>
      </x:c>
      <x:c r="H313" s="14" t="n">
        <x:v>13.03</x:v>
      </x:c>
      <x:c r="I313" s="14" t="n">
        <x:f>G313*H313</x:f>
        <x:v>1524.51</x:v>
      </x:c>
      <x:c r="J313" s="16" t="n">
        <x:f>IFERROR(F313/E313,0)</x:f>
        <x:v>0.8809523809523809</x:v>
      </x:c>
      <x:c r="K313" s="10" t="str">
        <x:f>IF(J313&lt;0.90,"Stockout","Healthy")</x:f>
        <x:v>Stockout</x:v>
      </x:c>
    </x:row>
    <x:row r="314">
      <x:c r="A314" s="12" t="n">
        <x:v>46174</x:v>
      </x:c>
      <x:c r="B314" s="10" t="str">
        <x:v>Store 201</x:v>
      </x:c>
      <x:c r="C314" s="10" t="str">
        <x:v>East</x:v>
      </x:c>
      <x:c r="D314" s="10" t="str">
        <x:v>Pain Relief</x:v>
      </x:c>
      <x:c r="E314" s="10" t="n">
        <x:v>58</x:v>
      </x:c>
      <x:c r="F314" s="10" t="n">
        <x:v>57</x:v>
      </x:c>
      <x:c r="G314" s="10" t="n">
        <x:v>110</x:v>
      </x:c>
      <x:c r="H314" s="14" t="n">
        <x:v>14.06</x:v>
      </x:c>
      <x:c r="I314" s="14" t="n">
        <x:f>G314*H314</x:f>
        <x:v>1546.6000000000001</x:v>
      </x:c>
      <x:c r="J314" s="16" t="n">
        <x:f>IFERROR(F314/E314,0)</x:f>
        <x:v>0.9827586206896551</x:v>
      </x:c>
      <x:c r="K314" s="10" t="str">
        <x:f>IF(J314&lt;0.90,"Stockout","Healthy")</x:f>
        <x:v>Healthy</x:v>
      </x:c>
    </x:row>
    <x:row r="315">
      <x:c r="A315" s="12" t="n">
        <x:v>46174</x:v>
      </x:c>
      <x:c r="B315" s="10" t="str">
        <x:v>Store 201</x:v>
      </x:c>
      <x:c r="C315" s="10" t="str">
        <x:v>East</x:v>
      </x:c>
      <x:c r="D315" s="10" t="str">
        <x:v>Cold &amp; Cough</x:v>
      </x:c>
      <x:c r="E315" s="10" t="n">
        <x:v>34</x:v>
      </x:c>
      <x:c r="F315" s="10" t="n">
        <x:v>31</x:v>
      </x:c>
      <x:c r="G315" s="10" t="n">
        <x:v>118</x:v>
      </x:c>
      <x:c r="H315" s="14" t="n">
        <x:v>15.79</x:v>
      </x:c>
      <x:c r="I315" s="14" t="n">
        <x:f>G315*H315</x:f>
        <x:v>1863.2199999999998</x:v>
      </x:c>
      <x:c r="J315" s="16" t="n">
        <x:f>IFERROR(F315/E315,0)</x:f>
        <x:v>0.9117647058823529</x:v>
      </x:c>
      <x:c r="K315" s="10" t="str">
        <x:f>IF(J315&lt;0.90,"Stockout","Healthy")</x:f>
        <x:v>Healthy</x:v>
      </x:c>
    </x:row>
    <x:row r="316">
      <x:c r="A316" s="12" t="n">
        <x:v>46174</x:v>
      </x:c>
      <x:c r="B316" s="10" t="str">
        <x:v>Store 201</x:v>
      </x:c>
      <x:c r="C316" s="10" t="str">
        <x:v>East</x:v>
      </x:c>
      <x:c r="D316" s="10" t="str">
        <x:v>Digestive Care</x:v>
      </x:c>
      <x:c r="E316" s="10" t="n">
        <x:v>34</x:v>
      </x:c>
      <x:c r="F316" s="10" t="n">
        <x:v>33</x:v>
      </x:c>
      <x:c r="G316" s="10" t="n">
        <x:v>177</x:v>
      </x:c>
      <x:c r="H316" s="14" t="n">
        <x:v>17.42</x:v>
      </x:c>
      <x:c r="I316" s="14" t="n">
        <x:f>G316*H316</x:f>
        <x:v>3083.34</x:v>
      </x:c>
      <x:c r="J316" s="16" t="n">
        <x:f>IFERROR(F316/E316,0)</x:f>
        <x:v>0.9705882352941176</x:v>
      </x:c>
      <x:c r="K316" s="10" t="str">
        <x:f>IF(J316&lt;0.90,"Stockout","Healthy")</x:f>
        <x:v>Healthy</x:v>
      </x:c>
    </x:row>
    <x:row r="317">
      <x:c r="A317" s="12" t="n">
        <x:v>46174</x:v>
      </x:c>
      <x:c r="B317" s="10" t="str">
        <x:v>Store 201</x:v>
      </x:c>
      <x:c r="C317" s="10" t="str">
        <x:v>East</x:v>
      </x:c>
      <x:c r="D317" s="10" t="str">
        <x:v>First Aid</x:v>
      </x:c>
      <x:c r="E317" s="10" t="n">
        <x:v>44</x:v>
      </x:c>
      <x:c r="F317" s="10" t="n">
        <x:v>41</x:v>
      </x:c>
      <x:c r="G317" s="10" t="n">
        <x:v>154</x:v>
      </x:c>
      <x:c r="H317" s="14" t="n">
        <x:v>8.85</x:v>
      </x:c>
      <x:c r="I317" s="14" t="n">
        <x:f>G317*H317</x:f>
        <x:v>1362.8999999999999</x:v>
      </x:c>
      <x:c r="J317" s="16" t="n">
        <x:f>IFERROR(F317/E317,0)</x:f>
        <x:v>0.9318181818181818</x:v>
      </x:c>
      <x:c r="K317" s="10" t="str">
        <x:f>IF(J317&lt;0.90,"Stockout","Healthy")</x:f>
        <x:v>Healthy</x:v>
      </x:c>
    </x:row>
    <x:row r="318">
      <x:c r="A318" s="12" t="n">
        <x:v>46174</x:v>
      </x:c>
      <x:c r="B318" s="10" t="str">
        <x:v>Store 201</x:v>
      </x:c>
      <x:c r="C318" s="10" t="str">
        <x:v>East</x:v>
      </x:c>
      <x:c r="D318" s="10" t="str">
        <x:v>Vitamins</x:v>
      </x:c>
      <x:c r="E318" s="10" t="n">
        <x:v>55</x:v>
      </x:c>
      <x:c r="F318" s="10" t="n">
        <x:v>51</x:v>
      </x:c>
      <x:c r="G318" s="10" t="n">
        <x:v>149</x:v>
      </x:c>
      <x:c r="H318" s="14" t="n">
        <x:v>22.86</x:v>
      </x:c>
      <x:c r="I318" s="14" t="n">
        <x:f>G318*H318</x:f>
        <x:v>3406.14</x:v>
      </x:c>
      <x:c r="J318" s="16" t="n">
        <x:f>IFERROR(F318/E318,0)</x:f>
        <x:v>0.9272727272727272</x:v>
      </x:c>
      <x:c r="K318" s="10" t="str">
        <x:f>IF(J318&lt;0.90,"Stockout","Healthy")</x:f>
        <x:v>Healthy</x:v>
      </x:c>
    </x:row>
    <x:row r="319">
      <x:c r="A319" s="12" t="n">
        <x:v>46174</x:v>
      </x:c>
      <x:c r="B319" s="10" t="str">
        <x:v>Store 201</x:v>
      </x:c>
      <x:c r="C319" s="10" t="str">
        <x:v>East</x:v>
      </x:c>
      <x:c r="D319" s="10" t="str">
        <x:v>Personal Care</x:v>
      </x:c>
      <x:c r="E319" s="10" t="n">
        <x:v>34</x:v>
      </x:c>
      <x:c r="F319" s="10" t="n">
        <x:v>34</x:v>
      </x:c>
      <x:c r="G319" s="10" t="n">
        <x:v>158</x:v>
      </x:c>
      <x:c r="H319" s="14" t="n">
        <x:v>11.79</x:v>
      </x:c>
      <x:c r="I319" s="14" t="n">
        <x:f>G319*H319</x:f>
        <x:v>1862.82</x:v>
      </x:c>
      <x:c r="J319" s="16" t="n">
        <x:f>IFERROR(F319/E319,0)</x:f>
        <x:v>1</x:v>
      </x:c>
      <x:c r="K319" s="10" t="str">
        <x:f>IF(J319&lt;0.90,"Stockout","Healthy")</x:f>
        <x:v>Healthy</x:v>
      </x:c>
    </x:row>
    <x:row r="320">
      <x:c r="A320" s="12" t="n">
        <x:v>46174</x:v>
      </x:c>
      <x:c r="B320" s="10" t="str">
        <x:v>Store 202</x:v>
      </x:c>
      <x:c r="C320" s="10" t="str">
        <x:v>East</x:v>
      </x:c>
      <x:c r="D320" s="10" t="str">
        <x:v>Pain Relief</x:v>
      </x:c>
      <x:c r="E320" s="10" t="n">
        <x:v>48</x:v>
      </x:c>
      <x:c r="F320" s="10" t="n">
        <x:v>44</x:v>
      </x:c>
      <x:c r="G320" s="10" t="n">
        <x:v>165</x:v>
      </x:c>
      <x:c r="H320" s="14" t="n">
        <x:v>14.29</x:v>
      </x:c>
      <x:c r="I320" s="14" t="n">
        <x:f>G320*H320</x:f>
        <x:v>2357.85</x:v>
      </x:c>
      <x:c r="J320" s="16" t="n">
        <x:f>IFERROR(F320/E320,0)</x:f>
        <x:v>0.9166666666666666</x:v>
      </x:c>
      <x:c r="K320" s="10" t="str">
        <x:f>IF(J320&lt;0.90,"Stockout","Healthy")</x:f>
        <x:v>Healthy</x:v>
      </x:c>
    </x:row>
    <x:row r="321">
      <x:c r="A321" s="12" t="n">
        <x:v>46174</x:v>
      </x:c>
      <x:c r="B321" s="10" t="str">
        <x:v>Store 202</x:v>
      </x:c>
      <x:c r="C321" s="10" t="str">
        <x:v>East</x:v>
      </x:c>
      <x:c r="D321" s="10" t="str">
        <x:v>Cold &amp; Cough</x:v>
      </x:c>
      <x:c r="E321" s="10" t="n">
        <x:v>58</x:v>
      </x:c>
      <x:c r="F321" s="10" t="n">
        <x:v>57</x:v>
      </x:c>
      <x:c r="G321" s="10" t="n">
        <x:v>133</x:v>
      </x:c>
      <x:c r="H321" s="14" t="n">
        <x:v>16.42</x:v>
      </x:c>
      <x:c r="I321" s="14" t="n">
        <x:f>G321*H321</x:f>
        <x:v>2183.86</x:v>
      </x:c>
      <x:c r="J321" s="16" t="n">
        <x:f>IFERROR(F321/E321,0)</x:f>
        <x:v>0.9827586206896551</x:v>
      </x:c>
      <x:c r="K321" s="10" t="str">
        <x:f>IF(J321&lt;0.90,"Stockout","Healthy")</x:f>
        <x:v>Healthy</x:v>
      </x:c>
    </x:row>
    <x:row r="322">
      <x:c r="A322" s="12" t="n">
        <x:v>46174</x:v>
      </x:c>
      <x:c r="B322" s="10" t="str">
        <x:v>Store 202</x:v>
      </x:c>
      <x:c r="C322" s="10" t="str">
        <x:v>East</x:v>
      </x:c>
      <x:c r="D322" s="10" t="str">
        <x:v>Digestive Care</x:v>
      </x:c>
      <x:c r="E322" s="10" t="n">
        <x:v>38</x:v>
      </x:c>
      <x:c r="F322" s="10" t="n">
        <x:v>37</x:v>
      </x:c>
      <x:c r="G322" s="10" t="n">
        <x:v>174</x:v>
      </x:c>
      <x:c r="H322" s="14" t="n">
        <x:v>18.87</x:v>
      </x:c>
      <x:c r="I322" s="14" t="n">
        <x:f>G322*H322</x:f>
        <x:v>3283.38</x:v>
      </x:c>
      <x:c r="J322" s="16" t="n">
        <x:f>IFERROR(F322/E322,0)</x:f>
        <x:v>0.9736842105263158</x:v>
      </x:c>
      <x:c r="K322" s="10" t="str">
        <x:f>IF(J322&lt;0.90,"Stockout","Healthy")</x:f>
        <x:v>Healthy</x:v>
      </x:c>
    </x:row>
    <x:row r="323">
      <x:c r="A323" s="12" t="n">
        <x:v>46174</x:v>
      </x:c>
      <x:c r="B323" s="10" t="str">
        <x:v>Store 202</x:v>
      </x:c>
      <x:c r="C323" s="10" t="str">
        <x:v>East</x:v>
      </x:c>
      <x:c r="D323" s="10" t="str">
        <x:v>First Aid</x:v>
      </x:c>
      <x:c r="E323" s="10" t="n">
        <x:v>42</x:v>
      </x:c>
      <x:c r="F323" s="10" t="n">
        <x:v>38</x:v>
      </x:c>
      <x:c r="G323" s="10" t="n">
        <x:v>154</x:v>
      </x:c>
      <x:c r="H323" s="14" t="n">
        <x:v>9.82</x:v>
      </x:c>
      <x:c r="I323" s="14" t="n">
        <x:f>G323*H323</x:f>
        <x:v>1512.28</x:v>
      </x:c>
      <x:c r="J323" s="16" t="n">
        <x:f>IFERROR(F323/E323,0)</x:f>
        <x:v>0.9047619047619048</x:v>
      </x:c>
      <x:c r="K323" s="10" t="str">
        <x:f>IF(J323&lt;0.90,"Stockout","Healthy")</x:f>
        <x:v>Healthy</x:v>
      </x:c>
    </x:row>
    <x:row r="324">
      <x:c r="A324" s="12" t="n">
        <x:v>46174</x:v>
      </x:c>
      <x:c r="B324" s="10" t="str">
        <x:v>Store 202</x:v>
      </x:c>
      <x:c r="C324" s="10" t="str">
        <x:v>East</x:v>
      </x:c>
      <x:c r="D324" s="10" t="str">
        <x:v>Vitamins</x:v>
      </x:c>
      <x:c r="E324" s="10" t="n">
        <x:v>47</x:v>
      </x:c>
      <x:c r="F324" s="10" t="n">
        <x:v>44</x:v>
      </x:c>
      <x:c r="G324" s="10" t="n">
        <x:v>186</x:v>
      </x:c>
      <x:c r="H324" s="14" t="n">
        <x:v>20.35</x:v>
      </x:c>
      <x:c r="I324" s="14" t="n">
        <x:f>G324*H324</x:f>
        <x:v>3785.1000000000004</x:v>
      </x:c>
      <x:c r="J324" s="16" t="n">
        <x:f>IFERROR(F324/E324,0)</x:f>
        <x:v>0.9361702127659575</x:v>
      </x:c>
      <x:c r="K324" s="10" t="str">
        <x:f>IF(J324&lt;0.90,"Stockout","Healthy")</x:f>
        <x:v>Healthy</x:v>
      </x:c>
    </x:row>
    <x:row r="325">
      <x:c r="A325" s="12" t="n">
        <x:v>46174</x:v>
      </x:c>
      <x:c r="B325" s="10" t="str">
        <x:v>Store 202</x:v>
      </x:c>
      <x:c r="C325" s="10" t="str">
        <x:v>East</x:v>
      </x:c>
      <x:c r="D325" s="10" t="str">
        <x:v>Personal Care</x:v>
      </x:c>
      <x:c r="E325" s="10" t="n">
        <x:v>47</x:v>
      </x:c>
      <x:c r="F325" s="10" t="n">
        <x:v>47</x:v>
      </x:c>
      <x:c r="G325" s="10" t="n">
        <x:v>169</x:v>
      </x:c>
      <x:c r="H325" s="14" t="n">
        <x:v>12.37</x:v>
      </x:c>
      <x:c r="I325" s="14" t="n">
        <x:f>G325*H325</x:f>
        <x:v>2090.5299999999997</x:v>
      </x:c>
      <x:c r="J325" s="16" t="n">
        <x:f>IFERROR(F325/E325,0)</x:f>
        <x:v>1</x:v>
      </x:c>
      <x:c r="K325" s="10" t="str">
        <x:f>IF(J325&lt;0.90,"Stockout","Healthy")</x:f>
        <x:v>Healthy</x:v>
      </x:c>
    </x:row>
    <x:row r="326">
      <x:c r="A326" s="12" t="n">
        <x:v>46174</x:v>
      </x:c>
      <x:c r="B326" s="10" t="str">
        <x:v>Store 301</x:v>
      </x:c>
      <x:c r="C326" s="10" t="str">
        <x:v>West</x:v>
      </x:c>
      <x:c r="D326" s="10" t="str">
        <x:v>Pain Relief</x:v>
      </x:c>
      <x:c r="E326" s="10" t="n">
        <x:v>50</x:v>
      </x:c>
      <x:c r="F326" s="10" t="n">
        <x:v>47</x:v>
      </x:c>
      <x:c r="G326" s="10" t="n">
        <x:v>117</x:v>
      </x:c>
      <x:c r="H326" s="14" t="n">
        <x:v>13.32</x:v>
      </x:c>
      <x:c r="I326" s="14" t="n">
        <x:f>G326*H326</x:f>
        <x:v>1558.44</x:v>
      </x:c>
      <x:c r="J326" s="16" t="n">
        <x:f>IFERROR(F326/E326,0)</x:f>
        <x:v>0.94</x:v>
      </x:c>
      <x:c r="K326" s="10" t="str">
        <x:f>IF(J326&lt;0.90,"Stockout","Healthy")</x:f>
        <x:v>Healthy</x:v>
      </x:c>
    </x:row>
    <x:row r="327">
      <x:c r="A327" s="12" t="n">
        <x:v>46174</x:v>
      </x:c>
      <x:c r="B327" s="10" t="str">
        <x:v>Store 301</x:v>
      </x:c>
      <x:c r="C327" s="10" t="str">
        <x:v>West</x:v>
      </x:c>
      <x:c r="D327" s="10" t="str">
        <x:v>Cold &amp; Cough</x:v>
      </x:c>
      <x:c r="E327" s="10" t="n">
        <x:v>53</x:v>
      </x:c>
      <x:c r="F327" s="10" t="n">
        <x:v>52</x:v>
      </x:c>
      <x:c r="G327" s="10" t="n">
        <x:v>130</x:v>
      </x:c>
      <x:c r="H327" s="14" t="n">
        <x:v>16.62</x:v>
      </x:c>
      <x:c r="I327" s="14" t="n">
        <x:f>G327*H327</x:f>
        <x:v>2160.6</x:v>
      </x:c>
      <x:c r="J327" s="16" t="n">
        <x:f>IFERROR(F327/E327,0)</x:f>
        <x:v>0.9811320754716981</x:v>
      </x:c>
      <x:c r="K327" s="10" t="str">
        <x:f>IF(J327&lt;0.90,"Stockout","Healthy")</x:f>
        <x:v>Healthy</x:v>
      </x:c>
    </x:row>
    <x:row r="328">
      <x:c r="A328" s="12" t="n">
        <x:v>46174</x:v>
      </x:c>
      <x:c r="B328" s="10" t="str">
        <x:v>Store 301</x:v>
      </x:c>
      <x:c r="C328" s="10" t="str">
        <x:v>West</x:v>
      </x:c>
      <x:c r="D328" s="10" t="str">
        <x:v>Digestive Care</x:v>
      </x:c>
      <x:c r="E328" s="10" t="n">
        <x:v>58</x:v>
      </x:c>
      <x:c r="F328" s="10" t="n">
        <x:v>56</x:v>
      </x:c>
      <x:c r="G328" s="10" t="n">
        <x:v>139</x:v>
      </x:c>
      <x:c r="H328" s="14" t="n">
        <x:v>17.5</x:v>
      </x:c>
      <x:c r="I328" s="14" t="n">
        <x:f>G328*H328</x:f>
        <x:v>2432.5</x:v>
      </x:c>
      <x:c r="J328" s="16" t="n">
        <x:f>IFERROR(F328/E328,0)</x:f>
        <x:v>0.9655172413793104</x:v>
      </x:c>
      <x:c r="K328" s="10" t="str">
        <x:f>IF(J328&lt;0.90,"Stockout","Healthy")</x:f>
        <x:v>Healthy</x:v>
      </x:c>
    </x:row>
    <x:row r="329">
      <x:c r="A329" s="12" t="n">
        <x:v>46174</x:v>
      </x:c>
      <x:c r="B329" s="10" t="str">
        <x:v>Store 301</x:v>
      </x:c>
      <x:c r="C329" s="10" t="str">
        <x:v>West</x:v>
      </x:c>
      <x:c r="D329" s="10" t="str">
        <x:v>First Aid</x:v>
      </x:c>
      <x:c r="E329" s="10" t="n">
        <x:v>34</x:v>
      </x:c>
      <x:c r="F329" s="10" t="n">
        <x:v>31</x:v>
      </x:c>
      <x:c r="G329" s="10" t="n">
        <x:v>124</x:v>
      </x:c>
      <x:c r="H329" s="14" t="n">
        <x:v>8.82</x:v>
      </x:c>
      <x:c r="I329" s="14" t="n">
        <x:f>G329*H329</x:f>
        <x:v>1093.68</x:v>
      </x:c>
      <x:c r="J329" s="16" t="n">
        <x:f>IFERROR(F329/E329,0)</x:f>
        <x:v>0.9117647058823529</x:v>
      </x:c>
      <x:c r="K329" s="10" t="str">
        <x:f>IF(J329&lt;0.90,"Stockout","Healthy")</x:f>
        <x:v>Healthy</x:v>
      </x:c>
    </x:row>
    <x:row r="330">
      <x:c r="A330" s="12" t="n">
        <x:v>46174</x:v>
      </x:c>
      <x:c r="B330" s="10" t="str">
        <x:v>Store 301</x:v>
      </x:c>
      <x:c r="C330" s="10" t="str">
        <x:v>West</x:v>
      </x:c>
      <x:c r="D330" s="10" t="str">
        <x:v>Vitamins</x:v>
      </x:c>
      <x:c r="E330" s="10" t="n">
        <x:v>51</x:v>
      </x:c>
      <x:c r="F330" s="10" t="n">
        <x:v>48</x:v>
      </x:c>
      <x:c r="G330" s="10" t="n">
        <x:v>96</x:v>
      </x:c>
      <x:c r="H330" s="14" t="n">
        <x:v>23.83</x:v>
      </x:c>
      <x:c r="I330" s="14" t="n">
        <x:f>G330*H330</x:f>
        <x:v>2287.68</x:v>
      </x:c>
      <x:c r="J330" s="16" t="n">
        <x:f>IFERROR(F330/E330,0)</x:f>
        <x:v>0.9411764705882353</x:v>
      </x:c>
      <x:c r="K330" s="10" t="str">
        <x:f>IF(J330&lt;0.90,"Stockout","Healthy")</x:f>
        <x:v>Healthy</x:v>
      </x:c>
    </x:row>
    <x:row r="331">
      <x:c r="A331" s="12" t="n">
        <x:v>46174</x:v>
      </x:c>
      <x:c r="B331" s="10" t="str">
        <x:v>Store 301</x:v>
      </x:c>
      <x:c r="C331" s="10" t="str">
        <x:v>West</x:v>
      </x:c>
      <x:c r="D331" s="10" t="str">
        <x:v>Personal Care</x:v>
      </x:c>
      <x:c r="E331" s="10" t="n">
        <x:v>59</x:v>
      </x:c>
      <x:c r="F331" s="10" t="n">
        <x:v>54</x:v>
      </x:c>
      <x:c r="G331" s="10" t="n">
        <x:v>144</x:v>
      </x:c>
      <x:c r="H331" s="14" t="n">
        <x:v>12.76</x:v>
      </x:c>
      <x:c r="I331" s="14" t="n">
        <x:f>G331*H331</x:f>
        <x:v>1837.44</x:v>
      </x:c>
      <x:c r="J331" s="16" t="n">
        <x:f>IFERROR(F331/E331,0)</x:f>
        <x:v>0.9152542372881356</x:v>
      </x:c>
      <x:c r="K331" s="10" t="str">
        <x:f>IF(J331&lt;0.90,"Stockout","Healthy")</x:f>
        <x:v>Healthy</x:v>
      </x:c>
    </x:row>
    <x:row r="332">
      <x:c r="A332" s="12" t="n">
        <x:v>46174</x:v>
      </x:c>
      <x:c r="B332" s="10" t="str">
        <x:v>Store 302</x:v>
      </x:c>
      <x:c r="C332" s="10" t="str">
        <x:v>West</x:v>
      </x:c>
      <x:c r="D332" s="10" t="str">
        <x:v>Pain Relief</x:v>
      </x:c>
      <x:c r="E332" s="10" t="n">
        <x:v>47</x:v>
      </x:c>
      <x:c r="F332" s="10" t="n">
        <x:v>47</x:v>
      </x:c>
      <x:c r="G332" s="10" t="n">
        <x:v>134</x:v>
      </x:c>
      <x:c r="H332" s="14" t="n">
        <x:v>14.71</x:v>
      </x:c>
      <x:c r="I332" s="14" t="n">
        <x:f>G332*H332</x:f>
        <x:v>1971.14</x:v>
      </x:c>
      <x:c r="J332" s="16" t="n">
        <x:f>IFERROR(F332/E332,0)</x:f>
        <x:v>1</x:v>
      </x:c>
      <x:c r="K332" s="10" t="str">
        <x:f>IF(J332&lt;0.90,"Stockout","Healthy")</x:f>
        <x:v>Healthy</x:v>
      </x:c>
    </x:row>
    <x:row r="333">
      <x:c r="A333" s="12" t="n">
        <x:v>46174</x:v>
      </x:c>
      <x:c r="B333" s="10" t="str">
        <x:v>Store 302</x:v>
      </x:c>
      <x:c r="C333" s="10" t="str">
        <x:v>West</x:v>
      </x:c>
      <x:c r="D333" s="10" t="str">
        <x:v>Cold &amp; Cough</x:v>
      </x:c>
      <x:c r="E333" s="10" t="n">
        <x:v>52</x:v>
      </x:c>
      <x:c r="F333" s="10" t="n">
        <x:v>47</x:v>
      </x:c>
      <x:c r="G333" s="10" t="n">
        <x:v>138</x:v>
      </x:c>
      <x:c r="H333" s="14" t="n">
        <x:v>15.61</x:v>
      </x:c>
      <x:c r="I333" s="14" t="n">
        <x:f>G333*H333</x:f>
        <x:v>2154.18</x:v>
      </x:c>
      <x:c r="J333" s="16" t="n">
        <x:f>IFERROR(F333/E333,0)</x:f>
        <x:v>0.9038461538461539</x:v>
      </x:c>
      <x:c r="K333" s="10" t="str">
        <x:f>IF(J333&lt;0.90,"Stockout","Healthy")</x:f>
        <x:v>Healthy</x:v>
      </x:c>
    </x:row>
    <x:row r="334">
      <x:c r="A334" s="12" t="n">
        <x:v>46174</x:v>
      </x:c>
      <x:c r="B334" s="10" t="str">
        <x:v>Store 302</x:v>
      </x:c>
      <x:c r="C334" s="10" t="str">
        <x:v>West</x:v>
      </x:c>
      <x:c r="D334" s="10" t="str">
        <x:v>Digestive Care</x:v>
      </x:c>
      <x:c r="E334" s="10" t="n">
        <x:v>43</x:v>
      </x:c>
      <x:c r="F334" s="10" t="n">
        <x:v>41</x:v>
      </x:c>
      <x:c r="G334" s="10" t="n">
        <x:v>131</x:v>
      </x:c>
      <x:c r="H334" s="14" t="n">
        <x:v>17.49</x:v>
      </x:c>
      <x:c r="I334" s="14" t="n">
        <x:f>G334*H334</x:f>
        <x:v>2291.1899999999996</x:v>
      </x:c>
      <x:c r="J334" s="16" t="n">
        <x:f>IFERROR(F334/E334,0)</x:f>
        <x:v>0.9534883720930233</x:v>
      </x:c>
      <x:c r="K334" s="10" t="str">
        <x:f>IF(J334&lt;0.90,"Stockout","Healthy")</x:f>
        <x:v>Healthy</x:v>
      </x:c>
    </x:row>
    <x:row r="335">
      <x:c r="A335" s="12" t="n">
        <x:v>46174</x:v>
      </x:c>
      <x:c r="B335" s="10" t="str">
        <x:v>Store 302</x:v>
      </x:c>
      <x:c r="C335" s="10" t="str">
        <x:v>West</x:v>
      </x:c>
      <x:c r="D335" s="10" t="str">
        <x:v>First Aid</x:v>
      </x:c>
      <x:c r="E335" s="10" t="n">
        <x:v>59</x:v>
      </x:c>
      <x:c r="F335" s="10" t="n">
        <x:v>58</x:v>
      </x:c>
      <x:c r="G335" s="10" t="n">
        <x:v>118</x:v>
      </x:c>
      <x:c r="H335" s="14" t="n">
        <x:v>9.99</x:v>
      </x:c>
      <x:c r="I335" s="14" t="n">
        <x:f>G335*H335</x:f>
        <x:v>1178.82</x:v>
      </x:c>
      <x:c r="J335" s="16" t="n">
        <x:f>IFERROR(F335/E335,0)</x:f>
        <x:v>0.9830508474576272</x:v>
      </x:c>
      <x:c r="K335" s="10" t="str">
        <x:f>IF(J335&lt;0.90,"Stockout","Healthy")</x:f>
        <x:v>Healthy</x:v>
      </x:c>
    </x:row>
    <x:row r="336">
      <x:c r="A336" s="12" t="n">
        <x:v>46174</x:v>
      </x:c>
      <x:c r="B336" s="10" t="str">
        <x:v>Store 302</x:v>
      </x:c>
      <x:c r="C336" s="10" t="str">
        <x:v>West</x:v>
      </x:c>
      <x:c r="D336" s="10" t="str">
        <x:v>Vitamins</x:v>
      </x:c>
      <x:c r="E336" s="10" t="n">
        <x:v>45</x:v>
      </x:c>
      <x:c r="F336" s="10" t="n">
        <x:v>45</x:v>
      </x:c>
      <x:c r="G336" s="10" t="n">
        <x:v>153</x:v>
      </x:c>
      <x:c r="H336" s="14" t="n">
        <x:v>20.98</x:v>
      </x:c>
      <x:c r="I336" s="14" t="n">
        <x:f>G336*H336</x:f>
        <x:v>3209.94</x:v>
      </x:c>
      <x:c r="J336" s="16" t="n">
        <x:f>IFERROR(F336/E336,0)</x:f>
        <x:v>1</x:v>
      </x:c>
      <x:c r="K336" s="10" t="str">
        <x:f>IF(J336&lt;0.90,"Stockout","Healthy")</x:f>
        <x:v>Healthy</x:v>
      </x:c>
    </x:row>
    <x:row r="337">
      <x:c r="A337" s="12" t="n">
        <x:v>46174</x:v>
      </x:c>
      <x:c r="B337" s="10" t="str">
        <x:v>Store 302</x:v>
      </x:c>
      <x:c r="C337" s="10" t="str">
        <x:v>West</x:v>
      </x:c>
      <x:c r="D337" s="10" t="str">
        <x:v>Personal Care</x:v>
      </x:c>
      <x:c r="E337" s="10" t="n">
        <x:v>52</x:v>
      </x:c>
      <x:c r="F337" s="10" t="n">
        <x:v>49</x:v>
      </x:c>
      <x:c r="G337" s="10" t="n">
        <x:v>133</x:v>
      </x:c>
      <x:c r="H337" s="14" t="n">
        <x:v>13.1</x:v>
      </x:c>
      <x:c r="I337" s="14" t="n">
        <x:f>G337*H337</x:f>
        <x:v>1742.3</x:v>
      </x:c>
      <x:c r="J337" s="16" t="n">
        <x:f>IFERROR(F337/E337,0)</x:f>
        <x:v>0.9423076923076923</x:v>
      </x:c>
      <x:c r="K337" s="10" t="str">
        <x:f>IF(J337&lt;0.90,"Stockout","Healthy")</x:f>
        <x:v>Healthy</x:v>
      </x:c>
    </x:row>
    <x:row r="338">
      <x:c r="A338" s="12" t="n">
        <x:v>46174</x:v>
      </x:c>
      <x:c r="B338" s="10" t="str">
        <x:v>Store 401</x:v>
      </x:c>
      <x:c r="C338" s="10" t="str">
        <x:v>North</x:v>
      </x:c>
      <x:c r="D338" s="10" t="str">
        <x:v>Pain Relief</x:v>
      </x:c>
      <x:c r="E338" s="10" t="n">
        <x:v>57</x:v>
      </x:c>
      <x:c r="F338" s="10" t="n">
        <x:v>53</x:v>
      </x:c>
      <x:c r="G338" s="10" t="n">
        <x:v>150</x:v>
      </x:c>
      <x:c r="H338" s="14" t="n">
        <x:v>12.65</x:v>
      </x:c>
      <x:c r="I338" s="14" t="n">
        <x:f>G338*H338</x:f>
        <x:v>1897.5</x:v>
      </x:c>
      <x:c r="J338" s="16" t="n">
        <x:f>IFERROR(F338/E338,0)</x:f>
        <x:v>0.9298245614035088</x:v>
      </x:c>
      <x:c r="K338" s="10" t="str">
        <x:f>IF(J338&lt;0.90,"Stockout","Healthy")</x:f>
        <x:v>Healthy</x:v>
      </x:c>
    </x:row>
    <x:row r="339">
      <x:c r="A339" s="12" t="n">
        <x:v>46174</x:v>
      </x:c>
      <x:c r="B339" s="10" t="str">
        <x:v>Store 401</x:v>
      </x:c>
      <x:c r="C339" s="10" t="str">
        <x:v>North</x:v>
      </x:c>
      <x:c r="D339" s="10" t="str">
        <x:v>Cold &amp; Cough</x:v>
      </x:c>
      <x:c r="E339" s="10" t="n">
        <x:v>50</x:v>
      </x:c>
      <x:c r="F339" s="10" t="n">
        <x:v>46</x:v>
      </x:c>
      <x:c r="G339" s="10" t="n">
        <x:v>108</x:v>
      </x:c>
      <x:c r="H339" s="14" t="n">
        <x:v>14.14</x:v>
      </x:c>
      <x:c r="I339" s="14" t="n">
        <x:f>G339*H339</x:f>
        <x:v>1527.1200000000001</x:v>
      </x:c>
      <x:c r="J339" s="16" t="n">
        <x:f>IFERROR(F339/E339,0)</x:f>
        <x:v>0.92</x:v>
      </x:c>
      <x:c r="K339" s="10" t="str">
        <x:f>IF(J339&lt;0.90,"Stockout","Healthy")</x:f>
        <x:v>Healthy</x:v>
      </x:c>
    </x:row>
    <x:row r="340">
      <x:c r="A340" s="12" t="n">
        <x:v>46174</x:v>
      </x:c>
      <x:c r="B340" s="10" t="str">
        <x:v>Store 401</x:v>
      </x:c>
      <x:c r="C340" s="10" t="str">
        <x:v>North</x:v>
      </x:c>
      <x:c r="D340" s="10" t="str">
        <x:v>Digestive Care</x:v>
      </x:c>
      <x:c r="E340" s="10" t="n">
        <x:v>58</x:v>
      </x:c>
      <x:c r="F340" s="10" t="n">
        <x:v>53</x:v>
      </x:c>
      <x:c r="G340" s="10" t="n">
        <x:v>164</x:v>
      </x:c>
      <x:c r="H340" s="14" t="n">
        <x:v>19.44</x:v>
      </x:c>
      <x:c r="I340" s="14" t="n">
        <x:f>G340*H340</x:f>
        <x:v>3188.1600000000003</x:v>
      </x:c>
      <x:c r="J340" s="16" t="n">
        <x:f>IFERROR(F340/E340,0)</x:f>
        <x:v>0.9137931034482759</x:v>
      </x:c>
      <x:c r="K340" s="10" t="str">
        <x:f>IF(J340&lt;0.90,"Stockout","Healthy")</x:f>
        <x:v>Healthy</x:v>
      </x:c>
    </x:row>
    <x:row r="341">
      <x:c r="A341" s="12" t="n">
        <x:v>46174</x:v>
      </x:c>
      <x:c r="B341" s="10" t="str">
        <x:v>Store 401</x:v>
      </x:c>
      <x:c r="C341" s="10" t="str">
        <x:v>North</x:v>
      </x:c>
      <x:c r="D341" s="10" t="str">
        <x:v>First Aid</x:v>
      </x:c>
      <x:c r="E341" s="10" t="n">
        <x:v>60</x:v>
      </x:c>
      <x:c r="F341" s="10" t="n">
        <x:v>58</x:v>
      </x:c>
      <x:c r="G341" s="10" t="n">
        <x:v>140</x:v>
      </x:c>
      <x:c r="H341" s="14" t="n">
        <x:v>9.08</x:v>
      </x:c>
      <x:c r="I341" s="14" t="n">
        <x:f>G341*H341</x:f>
        <x:v>1271.2</x:v>
      </x:c>
      <x:c r="J341" s="16" t="n">
        <x:f>IFERROR(F341/E341,0)</x:f>
        <x:v>0.9666666666666667</x:v>
      </x:c>
      <x:c r="K341" s="10" t="str">
        <x:f>IF(J341&lt;0.90,"Stockout","Healthy")</x:f>
        <x:v>Healthy</x:v>
      </x:c>
    </x:row>
    <x:row r="342">
      <x:c r="A342" s="12" t="n">
        <x:v>46174</x:v>
      </x:c>
      <x:c r="B342" s="10" t="str">
        <x:v>Store 401</x:v>
      </x:c>
      <x:c r="C342" s="10" t="str">
        <x:v>North</x:v>
      </x:c>
      <x:c r="D342" s="10" t="str">
        <x:v>Vitamins</x:v>
      </x:c>
      <x:c r="E342" s="10" t="n">
        <x:v>39</x:v>
      </x:c>
      <x:c r="F342" s="10" t="n">
        <x:v>35</x:v>
      </x:c>
      <x:c r="G342" s="10" t="n">
        <x:v>106</x:v>
      </x:c>
      <x:c r="H342" s="14" t="n">
        <x:v>22.97</x:v>
      </x:c>
      <x:c r="I342" s="14" t="n">
        <x:f>G342*H342</x:f>
        <x:v>2434.8199999999997</x:v>
      </x:c>
      <x:c r="J342" s="16" t="n">
        <x:f>IFERROR(F342/E342,0)</x:f>
        <x:v>0.8974358974358975</x:v>
      </x:c>
      <x:c r="K342" s="10" t="str">
        <x:f>IF(J342&lt;0.90,"Stockout","Healthy")</x:f>
        <x:v>Stockout</x:v>
      </x:c>
    </x:row>
    <x:row r="343">
      <x:c r="A343" s="12" t="n">
        <x:v>46174</x:v>
      </x:c>
      <x:c r="B343" s="10" t="str">
        <x:v>Store 401</x:v>
      </x:c>
      <x:c r="C343" s="10" t="str">
        <x:v>North</x:v>
      </x:c>
      <x:c r="D343" s="10" t="str">
        <x:v>Personal Care</x:v>
      </x:c>
      <x:c r="E343" s="10" t="n">
        <x:v>39</x:v>
      </x:c>
      <x:c r="F343" s="10" t="n">
        <x:v>39</x:v>
      </x:c>
      <x:c r="G343" s="10" t="n">
        <x:v>120</x:v>
      </x:c>
      <x:c r="H343" s="14" t="n">
        <x:v>12.02</x:v>
      </x:c>
      <x:c r="I343" s="14" t="n">
        <x:f>G343*H343</x:f>
        <x:v>1442.3999999999999</x:v>
      </x:c>
      <x:c r="J343" s="16" t="n">
        <x:f>IFERROR(F343/E343,0)</x:f>
        <x:v>1</x:v>
      </x:c>
      <x:c r="K343" s="10" t="str">
        <x:f>IF(J343&lt;0.90,"Stockout","Healthy")</x:f>
        <x:v>Healthy</x:v>
      </x:c>
    </x:row>
    <x:row r="344">
      <x:c r="A344" s="12" t="n">
        <x:v>46174</x:v>
      </x:c>
      <x:c r="B344" s="10" t="str">
        <x:v>Store 402</x:v>
      </x:c>
      <x:c r="C344" s="10" t="str">
        <x:v>North</x:v>
      </x:c>
      <x:c r="D344" s="10" t="str">
        <x:v>Pain Relief</x:v>
      </x:c>
      <x:c r="E344" s="10" t="n">
        <x:v>52</x:v>
      </x:c>
      <x:c r="F344" s="10" t="n">
        <x:v>50</x:v>
      </x:c>
      <x:c r="G344" s="10" t="n">
        <x:v>107</x:v>
      </x:c>
      <x:c r="H344" s="14" t="n">
        <x:v>14.89</x:v>
      </x:c>
      <x:c r="I344" s="14" t="n">
        <x:f>G344*H344</x:f>
        <x:v>1593.23</x:v>
      </x:c>
      <x:c r="J344" s="16" t="n">
        <x:f>IFERROR(F344/E344,0)</x:f>
        <x:v>0.9615384615384616</x:v>
      </x:c>
      <x:c r="K344" s="10" t="str">
        <x:f>IF(J344&lt;0.90,"Stockout","Healthy")</x:f>
        <x:v>Healthy</x:v>
      </x:c>
    </x:row>
    <x:row r="345">
      <x:c r="A345" s="12" t="n">
        <x:v>46174</x:v>
      </x:c>
      <x:c r="B345" s="10" t="str">
        <x:v>Store 402</x:v>
      </x:c>
      <x:c r="C345" s="10" t="str">
        <x:v>North</x:v>
      </x:c>
      <x:c r="D345" s="10" t="str">
        <x:v>Cold &amp; Cough</x:v>
      </x:c>
      <x:c r="E345" s="10" t="n">
        <x:v>52</x:v>
      </x:c>
      <x:c r="F345" s="10" t="n">
        <x:v>45</x:v>
      </x:c>
      <x:c r="G345" s="10" t="n">
        <x:v>77</x:v>
      </x:c>
      <x:c r="H345" s="14" t="n">
        <x:v>14.57</x:v>
      </x:c>
      <x:c r="I345" s="14" t="n">
        <x:f>G345*H345</x:f>
        <x:v>1121.89</x:v>
      </x:c>
      <x:c r="J345" s="16" t="n">
        <x:f>IFERROR(F345/E345,0)</x:f>
        <x:v>0.8653846153846154</x:v>
      </x:c>
      <x:c r="K345" s="10" t="str">
        <x:f>IF(J345&lt;0.90,"Stockout","Healthy")</x:f>
        <x:v>Stockout</x:v>
      </x:c>
    </x:row>
    <x:row r="346">
      <x:c r="A346" s="12" t="n">
        <x:v>46174</x:v>
      </x:c>
      <x:c r="B346" s="10" t="str">
        <x:v>Store 402</x:v>
      </x:c>
      <x:c r="C346" s="10" t="str">
        <x:v>North</x:v>
      </x:c>
      <x:c r="D346" s="10" t="str">
        <x:v>Digestive Care</x:v>
      </x:c>
      <x:c r="E346" s="10" t="n">
        <x:v>54</x:v>
      </x:c>
      <x:c r="F346" s="10" t="n">
        <x:v>50</x:v>
      </x:c>
      <x:c r="G346" s="10" t="n">
        <x:v>159</x:v>
      </x:c>
      <x:c r="H346" s="14" t="n">
        <x:v>18.06</x:v>
      </x:c>
      <x:c r="I346" s="14" t="n">
        <x:f>G346*H346</x:f>
        <x:v>2871.54</x:v>
      </x:c>
      <x:c r="J346" s="16" t="n">
        <x:f>IFERROR(F346/E346,0)</x:f>
        <x:v>0.9259259259259259</x:v>
      </x:c>
      <x:c r="K346" s="10" t="str">
        <x:f>IF(J346&lt;0.90,"Stockout","Healthy")</x:f>
        <x:v>Healthy</x:v>
      </x:c>
    </x:row>
    <x:row r="347">
      <x:c r="A347" s="12" t="n">
        <x:v>46174</x:v>
      </x:c>
      <x:c r="B347" s="10" t="str">
        <x:v>Store 402</x:v>
      </x:c>
      <x:c r="C347" s="10" t="str">
        <x:v>North</x:v>
      </x:c>
      <x:c r="D347" s="10" t="str">
        <x:v>First Aid</x:v>
      </x:c>
      <x:c r="E347" s="10" t="n">
        <x:v>54</x:v>
      </x:c>
      <x:c r="F347" s="10" t="n">
        <x:v>51</x:v>
      </x:c>
      <x:c r="G347" s="10" t="n">
        <x:v>153</x:v>
      </x:c>
      <x:c r="H347" s="14" t="n">
        <x:v>8.67</x:v>
      </x:c>
      <x:c r="I347" s="14" t="n">
        <x:f>G347*H347</x:f>
        <x:v>1326.51</x:v>
      </x:c>
      <x:c r="J347" s="16" t="n">
        <x:f>IFERROR(F347/E347,0)</x:f>
        <x:v>0.9444444444444444</x:v>
      </x:c>
      <x:c r="K347" s="10" t="str">
        <x:f>IF(J347&lt;0.90,"Stockout","Healthy")</x:f>
        <x:v>Healthy</x:v>
      </x:c>
    </x:row>
    <x:row r="348">
      <x:c r="A348" s="12" t="n">
        <x:v>46174</x:v>
      </x:c>
      <x:c r="B348" s="10" t="str">
        <x:v>Store 402</x:v>
      </x:c>
      <x:c r="C348" s="10" t="str">
        <x:v>North</x:v>
      </x:c>
      <x:c r="D348" s="10" t="str">
        <x:v>Vitamins</x:v>
      </x:c>
      <x:c r="E348" s="10" t="n">
        <x:v>50</x:v>
      </x:c>
      <x:c r="F348" s="10" t="n">
        <x:v>50</x:v>
      </x:c>
      <x:c r="G348" s="10" t="n">
        <x:v>147</x:v>
      </x:c>
      <x:c r="H348" s="14" t="n">
        <x:v>19.98</x:v>
      </x:c>
      <x:c r="I348" s="14" t="n">
        <x:f>G348*H348</x:f>
        <x:v>2937.06</x:v>
      </x:c>
      <x:c r="J348" s="16" t="n">
        <x:f>IFERROR(F348/E348,0)</x:f>
        <x:v>1</x:v>
      </x:c>
      <x:c r="K348" s="10" t="str">
        <x:f>IF(J348&lt;0.90,"Stockout","Healthy")</x:f>
        <x:v>Healthy</x:v>
      </x:c>
    </x:row>
    <x:row r="349">
      <x:c r="A349" s="12" t="n">
        <x:v>46174</x:v>
      </x:c>
      <x:c r="B349" s="10" t="str">
        <x:v>Store 402</x:v>
      </x:c>
      <x:c r="C349" s="10" t="str">
        <x:v>North</x:v>
      </x:c>
      <x:c r="D349" s="10" t="str">
        <x:v>Personal Care</x:v>
      </x:c>
      <x:c r="E349" s="10" t="n">
        <x:v>45</x:v>
      </x:c>
      <x:c r="F349" s="10" t="n">
        <x:v>43</x:v>
      </x:c>
      <x:c r="G349" s="10" t="n">
        <x:v>126</x:v>
      </x:c>
      <x:c r="H349" s="14" t="n">
        <x:v>13.08</x:v>
      </x:c>
      <x:c r="I349" s="14" t="n">
        <x:f>G349*H349</x:f>
        <x:v>1648.08</x:v>
      </x:c>
      <x:c r="J349" s="16" t="n">
        <x:f>IFERROR(F349/E349,0)</x:f>
        <x:v>0.9555555555555556</x:v>
      </x:c>
      <x:c r="K349" s="10" t="str">
        <x:f>IF(J349&lt;0.90,"Stockout","Healthy")</x:f>
        <x:v>Healthy</x:v>
      </x:c>
    </x:row>
    <x:row r="350">
      <x:c r="A350" s="12" t="n">
        <x:v>46174</x:v>
      </x:c>
      <x:c r="B350" s="10" t="str">
        <x:v>Store 501</x:v>
      </x:c>
      <x:c r="C350" s="10" t="str">
        <x:v>South</x:v>
      </x:c>
      <x:c r="D350" s="10" t="str">
        <x:v>Pain Relief</x:v>
      </x:c>
      <x:c r="E350" s="10" t="n">
        <x:v>36</x:v>
      </x:c>
      <x:c r="F350" s="10" t="n">
        <x:v>33</x:v>
      </x:c>
      <x:c r="G350" s="10" t="n">
        <x:v>118</x:v>
      </x:c>
      <x:c r="H350" s="14" t="n">
        <x:v>13.52</x:v>
      </x:c>
      <x:c r="I350" s="14" t="n">
        <x:f>G350*H350</x:f>
        <x:v>1595.36</x:v>
      </x:c>
      <x:c r="J350" s="16" t="n">
        <x:f>IFERROR(F350/E350,0)</x:f>
        <x:v>0.9166666666666666</x:v>
      </x:c>
      <x:c r="K350" s="10" t="str">
        <x:f>IF(J350&lt;0.90,"Stockout","Healthy")</x:f>
        <x:v>Healthy</x:v>
      </x:c>
    </x:row>
    <x:row r="351">
      <x:c r="A351" s="12" t="n">
        <x:v>46174</x:v>
      </x:c>
      <x:c r="B351" s="10" t="str">
        <x:v>Store 501</x:v>
      </x:c>
      <x:c r="C351" s="10" t="str">
        <x:v>South</x:v>
      </x:c>
      <x:c r="D351" s="10" t="str">
        <x:v>Cold &amp; Cough</x:v>
      </x:c>
      <x:c r="E351" s="10" t="n">
        <x:v>51</x:v>
      </x:c>
      <x:c r="F351" s="10" t="n">
        <x:v>50</x:v>
      </x:c>
      <x:c r="G351" s="10" t="n">
        <x:v>126</x:v>
      </x:c>
      <x:c r="H351" s="14" t="n">
        <x:v>13.64</x:v>
      </x:c>
      <x:c r="I351" s="14" t="n">
        <x:f>G351*H351</x:f>
        <x:v>1718.64</x:v>
      </x:c>
      <x:c r="J351" s="16" t="n">
        <x:f>IFERROR(F351/E351,0)</x:f>
        <x:v>0.9803921568627451</x:v>
      </x:c>
      <x:c r="K351" s="10" t="str">
        <x:f>IF(J351&lt;0.90,"Stockout","Healthy")</x:f>
        <x:v>Healthy</x:v>
      </x:c>
    </x:row>
    <x:row r="352">
      <x:c r="A352" s="12" t="n">
        <x:v>46174</x:v>
      </x:c>
      <x:c r="B352" s="10" t="str">
        <x:v>Store 501</x:v>
      </x:c>
      <x:c r="C352" s="10" t="str">
        <x:v>South</x:v>
      </x:c>
      <x:c r="D352" s="10" t="str">
        <x:v>Digestive Care</x:v>
      </x:c>
      <x:c r="E352" s="10" t="n">
        <x:v>59</x:v>
      </x:c>
      <x:c r="F352" s="10" t="n">
        <x:v>55</x:v>
      </x:c>
      <x:c r="G352" s="10" t="n">
        <x:v>131</x:v>
      </x:c>
      <x:c r="H352" s="14" t="n">
        <x:v>18.6</x:v>
      </x:c>
      <x:c r="I352" s="14" t="n">
        <x:f>G352*H352</x:f>
        <x:v>2436.6000000000004</x:v>
      </x:c>
      <x:c r="J352" s="16" t="n">
        <x:f>IFERROR(F352/E352,0)</x:f>
        <x:v>0.9322033898305084</x:v>
      </x:c>
      <x:c r="K352" s="10" t="str">
        <x:f>IF(J352&lt;0.90,"Stockout","Healthy")</x:f>
        <x:v>Healthy</x:v>
      </x:c>
    </x:row>
    <x:row r="353">
      <x:c r="A353" s="12" t="n">
        <x:v>46174</x:v>
      </x:c>
      <x:c r="B353" s="10" t="str">
        <x:v>Store 501</x:v>
      </x:c>
      <x:c r="C353" s="10" t="str">
        <x:v>South</x:v>
      </x:c>
      <x:c r="D353" s="10" t="str">
        <x:v>First Aid</x:v>
      </x:c>
      <x:c r="E353" s="10" t="n">
        <x:v>50</x:v>
      </x:c>
      <x:c r="F353" s="10" t="n">
        <x:v>48</x:v>
      </x:c>
      <x:c r="G353" s="10" t="n">
        <x:v>145</x:v>
      </x:c>
      <x:c r="H353" s="14" t="n">
        <x:v>8.77</x:v>
      </x:c>
      <x:c r="I353" s="14" t="n">
        <x:f>G353*H353</x:f>
        <x:v>1271.6499999999999</x:v>
      </x:c>
      <x:c r="J353" s="16" t="n">
        <x:f>IFERROR(F353/E353,0)</x:f>
        <x:v>0.96</x:v>
      </x:c>
      <x:c r="K353" s="10" t="str">
        <x:f>IF(J353&lt;0.90,"Stockout","Healthy")</x:f>
        <x:v>Healthy</x:v>
      </x:c>
    </x:row>
    <x:row r="354">
      <x:c r="A354" s="12" t="n">
        <x:v>46174</x:v>
      </x:c>
      <x:c r="B354" s="10" t="str">
        <x:v>Store 501</x:v>
      </x:c>
      <x:c r="C354" s="10" t="str">
        <x:v>South</x:v>
      </x:c>
      <x:c r="D354" s="10" t="str">
        <x:v>Vitamins</x:v>
      </x:c>
      <x:c r="E354" s="10" t="n">
        <x:v>60</x:v>
      </x:c>
      <x:c r="F354" s="10" t="n">
        <x:v>55</x:v>
      </x:c>
      <x:c r="G354" s="10" t="n">
        <x:v>171</x:v>
      </x:c>
      <x:c r="H354" s="14" t="n">
        <x:v>22.24</x:v>
      </x:c>
      <x:c r="I354" s="14" t="n">
        <x:f>G354*H354</x:f>
        <x:v>3803.0399999999995</x:v>
      </x:c>
      <x:c r="J354" s="16" t="n">
        <x:f>IFERROR(F354/E354,0)</x:f>
        <x:v>0.9166666666666666</x:v>
      </x:c>
      <x:c r="K354" s="10" t="str">
        <x:f>IF(J354&lt;0.90,"Stockout","Healthy")</x:f>
        <x:v>Healthy</x:v>
      </x:c>
    </x:row>
    <x:row r="355">
      <x:c r="A355" s="12" t="n">
        <x:v>46174</x:v>
      </x:c>
      <x:c r="B355" s="10" t="str">
        <x:v>Store 501</x:v>
      </x:c>
      <x:c r="C355" s="10" t="str">
        <x:v>South</x:v>
      </x:c>
      <x:c r="D355" s="10" t="str">
        <x:v>Personal Care</x:v>
      </x:c>
      <x:c r="E355" s="10" t="n">
        <x:v>39</x:v>
      </x:c>
      <x:c r="F355" s="10" t="n">
        <x:v>39</x:v>
      </x:c>
      <x:c r="G355" s="10" t="n">
        <x:v>147</x:v>
      </x:c>
      <x:c r="H355" s="14" t="n">
        <x:v>13.42</x:v>
      </x:c>
      <x:c r="I355" s="14" t="n">
        <x:f>G355*H355</x:f>
        <x:v>1972.74</x:v>
      </x:c>
      <x:c r="J355" s="16" t="n">
        <x:f>IFERROR(F355/E355,0)</x:f>
        <x:v>1</x:v>
      </x:c>
      <x:c r="K355" s="10" t="str">
        <x:f>IF(J355&lt;0.90,"Stockout","Healthy")</x:f>
        <x:v>Healthy</x:v>
      </x:c>
    </x:row>
    <x:row r="356">
      <x:c r="A356" s="12" t="n">
        <x:v>46174</x:v>
      </x:c>
      <x:c r="B356" s="10" t="str">
        <x:v>Store 502</x:v>
      </x:c>
      <x:c r="C356" s="10" t="str">
        <x:v>South</x:v>
      </x:c>
      <x:c r="D356" s="10" t="str">
        <x:v>Pain Relief</x:v>
      </x:c>
      <x:c r="E356" s="10" t="n">
        <x:v>50</x:v>
      </x:c>
      <x:c r="F356" s="10" t="n">
        <x:v>46</x:v>
      </x:c>
      <x:c r="G356" s="10" t="n">
        <x:v>139</x:v>
      </x:c>
      <x:c r="H356" s="14" t="n">
        <x:v>13.26</x:v>
      </x:c>
      <x:c r="I356" s="14" t="n">
        <x:f>G356*H356</x:f>
        <x:v>1843.1399999999999</x:v>
      </x:c>
      <x:c r="J356" s="16" t="n">
        <x:f>IFERROR(F356/E356,0)</x:f>
        <x:v>0.92</x:v>
      </x:c>
      <x:c r="K356" s="10" t="str">
        <x:f>IF(J356&lt;0.90,"Stockout","Healthy")</x:f>
        <x:v>Healthy</x:v>
      </x:c>
    </x:row>
    <x:row r="357">
      <x:c r="A357" s="12" t="n">
        <x:v>46174</x:v>
      </x:c>
      <x:c r="B357" s="10" t="str">
        <x:v>Store 502</x:v>
      </x:c>
      <x:c r="C357" s="10" t="str">
        <x:v>South</x:v>
      </x:c>
      <x:c r="D357" s="10" t="str">
        <x:v>Cold &amp; Cough</x:v>
      </x:c>
      <x:c r="E357" s="10" t="n">
        <x:v>43</x:v>
      </x:c>
      <x:c r="F357" s="10" t="n">
        <x:v>38</x:v>
      </x:c>
      <x:c r="G357" s="10" t="n">
        <x:v>169</x:v>
      </x:c>
      <x:c r="H357" s="14" t="n">
        <x:v>15.74</x:v>
      </x:c>
      <x:c r="I357" s="14" t="n">
        <x:f>G357*H357</x:f>
        <x:v>2660.06</x:v>
      </x:c>
      <x:c r="J357" s="16" t="n">
        <x:f>IFERROR(F357/E357,0)</x:f>
        <x:v>0.8837209302325582</x:v>
      </x:c>
      <x:c r="K357" s="10" t="str">
        <x:f>IF(J357&lt;0.90,"Stockout","Healthy")</x:f>
        <x:v>Stockout</x:v>
      </x:c>
    </x:row>
    <x:row r="358">
      <x:c r="A358" s="12" t="n">
        <x:v>46174</x:v>
      </x:c>
      <x:c r="B358" s="10" t="str">
        <x:v>Store 502</x:v>
      </x:c>
      <x:c r="C358" s="10" t="str">
        <x:v>South</x:v>
      </x:c>
      <x:c r="D358" s="10" t="str">
        <x:v>Digestive Care</x:v>
      </x:c>
      <x:c r="E358" s="10" t="n">
        <x:v>35</x:v>
      </x:c>
      <x:c r="F358" s="10" t="n">
        <x:v>34</x:v>
      </x:c>
      <x:c r="G358" s="10" t="n">
        <x:v>106</x:v>
      </x:c>
      <x:c r="H358" s="14" t="n">
        <x:v>16.46</x:v>
      </x:c>
      <x:c r="I358" s="14" t="n">
        <x:f>G358*H358</x:f>
        <x:v>1744.76</x:v>
      </x:c>
      <x:c r="J358" s="16" t="n">
        <x:f>IFERROR(F358/E358,0)</x:f>
        <x:v>0.9714285714285714</x:v>
      </x:c>
      <x:c r="K358" s="10" t="str">
        <x:f>IF(J358&lt;0.90,"Stockout","Healthy")</x:f>
        <x:v>Healthy</x:v>
      </x:c>
    </x:row>
    <x:row r="359">
      <x:c r="A359" s="12" t="n">
        <x:v>46174</x:v>
      </x:c>
      <x:c r="B359" s="10" t="str">
        <x:v>Store 502</x:v>
      </x:c>
      <x:c r="C359" s="10" t="str">
        <x:v>South</x:v>
      </x:c>
      <x:c r="D359" s="10" t="str">
        <x:v>First Aid</x:v>
      </x:c>
      <x:c r="E359" s="10" t="n">
        <x:v>37</x:v>
      </x:c>
      <x:c r="F359" s="10" t="n">
        <x:v>34</x:v>
      </x:c>
      <x:c r="G359" s="10" t="n">
        <x:v>132</x:v>
      </x:c>
      <x:c r="H359" s="14" t="n">
        <x:v>9.08</x:v>
      </x:c>
      <x:c r="I359" s="14" t="n">
        <x:f>G359*H359</x:f>
        <x:v>1198.56</x:v>
      </x:c>
      <x:c r="J359" s="16" t="n">
        <x:f>IFERROR(F359/E359,0)</x:f>
        <x:v>0.918918918918919</x:v>
      </x:c>
      <x:c r="K359" s="10" t="str">
        <x:f>IF(J359&lt;0.90,"Stockout","Healthy")</x:f>
        <x:v>Healthy</x:v>
      </x:c>
    </x:row>
    <x:row r="360">
      <x:c r="A360" s="12" t="n">
        <x:v>46174</x:v>
      </x:c>
      <x:c r="B360" s="10" t="str">
        <x:v>Store 502</x:v>
      </x:c>
      <x:c r="C360" s="10" t="str">
        <x:v>South</x:v>
      </x:c>
      <x:c r="D360" s="10" t="str">
        <x:v>Vitamins</x:v>
      </x:c>
      <x:c r="E360" s="10" t="n">
        <x:v>55</x:v>
      </x:c>
      <x:c r="F360" s="10" t="n">
        <x:v>54</x:v>
      </x:c>
      <x:c r="G360" s="10" t="n">
        <x:v>134</x:v>
      </x:c>
      <x:c r="H360" s="14" t="n">
        <x:v>20.53</x:v>
      </x:c>
      <x:c r="I360" s="14" t="n">
        <x:f>G360*H360</x:f>
        <x:v>2751.02</x:v>
      </x:c>
      <x:c r="J360" s="16" t="n">
        <x:f>IFERROR(F360/E360,0)</x:f>
        <x:v>0.9818181818181818</x:v>
      </x:c>
      <x:c r="K360" s="10" t="str">
        <x:f>IF(J360&lt;0.90,"Stockout","Healthy")</x:f>
        <x:v>Healthy</x:v>
      </x:c>
    </x:row>
    <x:row r="361">
      <x:c r="A361" s="12" t="n">
        <x:v>46174</x:v>
      </x:c>
      <x:c r="B361" s="10" t="str">
        <x:v>Store 502</x:v>
      </x:c>
      <x:c r="C361" s="10" t="str">
        <x:v>South</x:v>
      </x:c>
      <x:c r="D361" s="10" t="str">
        <x:v>Personal Care</x:v>
      </x:c>
      <x:c r="E361" s="10" t="n">
        <x:v>36</x:v>
      </x:c>
      <x:c r="F361" s="10" t="n">
        <x:v>33</x:v>
      </x:c>
      <x:c r="G361" s="10" t="n">
        <x:v>134</x:v>
      </x:c>
      <x:c r="H361" s="14" t="n">
        <x:v>11.72</x:v>
      </x:c>
      <x:c r="I361" s="14" t="n">
        <x:f>G361*H361</x:f>
        <x:v>1570.48</x:v>
      </x:c>
      <x:c r="J361" s="16" t="n">
        <x:f>IFERROR(F361/E361,0)</x:f>
        <x:v>0.9166666666666666</x:v>
      </x:c>
      <x:c r="K361" s="10" t="str">
        <x:f>IF(J361&lt;0.90,"Stockout","Healthy")</x:f>
        <x:v>Healthy</x:v>
      </x:c>
    </x:row>
  </x:sheetData>
  <x:conditionalFormatting sqref="J2:J361">
    <x:cfRule type="colorScale" priority="1">
      <x:colorScale>
        <x:cfvo type="min"/>
        <x:cfvo type="percentile" val="50"/>
        <x:cfvo type="max"/>
        <x:color rgb="FFFDE8E8"/>
        <x:color rgb="FFFFF4CC"/>
        <x:color rgb="FFE3F3E8"/>
      </x:colorScale>
    </x:cfRule>
  </x:conditionalFormatting>
  <x:conditionalFormatting sqref="K2:K361">
    <x:cfRule type="expression" dxfId="0" priority="2">
      <x:formula>K2="Stockout"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a0c5a518414a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8" t="str">
        <x:v>Field</x:v>
      </x:c>
      <x:c r="B1" s="18" t="str">
        <x:v>Definition</x:v>
      </x:c>
    </x:row>
    <x:row r="2">
      <x:c r="A2" s="19" t="str">
        <x:v>Month</x:v>
      </x:c>
      <x:c r="B2" s="19" t="str">
        <x:v>First day of the reporting month.</x:v>
      </x:c>
    </x:row>
    <x:row r="3">
      <x:c r="A3" s="19" t="str">
        <x:v>Store</x:v>
      </x:c>
      <x:c r="B3" s="19" t="str">
        <x:v>Mock store identifier used for the practice dashboard.</x:v>
      </x:c>
    </x:row>
    <x:row r="4">
      <x:c r="A4" s="19" t="str">
        <x:v>Region</x:v>
      </x:c>
      <x:c r="B4" s="19" t="str">
        <x:v>Assigned operating region.</x:v>
      </x:c>
    </x:row>
    <x:row r="5">
      <x:c r="A5" s="19" t="str">
        <x:v>Category</x:v>
      </x:c>
      <x:c r="B5" s="19" t="str">
        <x:v>OTC or personal-care product group.</x:v>
      </x:c>
    </x:row>
    <x:row r="6">
      <x:c r="A6" s="19" t="str">
        <x:v>Planned SKUs</x:v>
      </x:c>
      <x:c r="B6" s="19" t="str">
        <x:v>Number of products expected to be available.</x:v>
      </x:c>
    </x:row>
    <x:row r="7">
      <x:c r="A7" s="19" t="str">
        <x:v>In-Stock SKUs</x:v>
      </x:c>
      <x:c r="B7" s="19" t="str">
        <x:v>Number of products available during the month.</x:v>
      </x:c>
    </x:row>
    <x:row r="8">
      <x:c r="A8" s="19" t="str">
        <x:v>Units Sold</x:v>
      </x:c>
      <x:c r="B8" s="19" t="str">
        <x:v>Total units sold for the store/category/month.</x:v>
      </x:c>
    </x:row>
    <x:row r="9">
      <x:c r="A9" s="19" t="str">
        <x:v>Avg Unit Price</x:v>
      </x:c>
      <x:c r="B9" s="19" t="str">
        <x:v>Average selling price used in the mock dataset.</x:v>
      </x:c>
    </x:row>
    <x:row r="10">
      <x:c r="A10" s="19" t="str">
        <x:v>Sales Amount</x:v>
      </x:c>
      <x:c r="B10" s="19" t="str">
        <x:v>Units Sold × Avg Unit Price.</x:v>
      </x:c>
    </x:row>
    <x:row r="11">
      <x:c r="A11" s="19" t="str">
        <x:v>Availability %</x:v>
      </x:c>
      <x:c r="B11" s="19" t="str">
        <x:v>In-Stock SKUs ÷ Planned SKUs.</x:v>
      </x:c>
    </x:row>
    <x:row r="12">
      <x:c r="A12" s="19" t="str">
        <x:v>Stockout Flag</x:v>
      </x:c>
      <x:c r="B12" s="19" t="str">
        <x:v>Flags records below 90% availability.</x:v>
      </x:c>
    </x:row>
    <x:row r="13">
      <x:c r="A13" s="19"/>
      <x:c r="B13" s="19"/>
    </x:row>
    <x:row r="14">
      <x:c r="A14" s="19"/>
      <x:c r="B14" s="19"/>
    </x:row>
    <x:row r="15">
      <x:c r="A15" s="19"/>
      <x:c r="B15" s="19"/>
    </x:row>
    <x:row r="16">
      <x:c r="A16" s="19"/>
      <x:c r="B16" s="19"/>
    </x:row>
    <x:row r="17">
      <x:c r="A17" s="19"/>
      <x:c r="B17" s="19"/>
    </x:row>
    <x:row r="18">
      <x:c r="A18" s="19"/>
      <x:c r="B18" s="19"/>
    </x:row>
    <x:row r="19">
      <x:c r="A19" s="19"/>
      <x:c r="B19" s="19"/>
    </x:row>
    <x:row r="20">
      <x:c r="A20" s="19"/>
      <x:c r="B20" s="19"/>
    </x:row>
  </x:sheetData>
  <x:pageMargins left="0.7" right="0.7" top="0.75" bottom="0.75" header="0.3" footer="0.3"/>
</x:worksheet>
</file>